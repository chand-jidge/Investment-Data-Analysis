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dba\OneDrive\Documents\"/>
    </mc:Choice>
  </mc:AlternateContent>
  <xr:revisionPtr revIDLastSave="0" documentId="8_{72A6955B-B6C3-40DD-9595-A66C7D22DC85}" xr6:coauthVersionLast="47" xr6:coauthVersionMax="47" xr10:uidLastSave="{00000000-0000-0000-0000-000000000000}"/>
  <bookViews>
    <workbookView xWindow="-98" yWindow="-98" windowWidth="21795" windowHeight="12975" firstSheet="5" activeTab="5" xr2:uid="{EC550068-8860-4596-8C0E-34128AD12FCB}"/>
  </bookViews>
  <sheets>
    <sheet name="Gender Distribution" sheetId="4" r:id="rId1"/>
    <sheet name="Sheet4" sheetId="5" r:id="rId2"/>
    <sheet name="Descriptive Statistics" sheetId="6" r:id="rId3"/>
    <sheet name="Most Preferred Investment Avenu" sheetId="8" r:id="rId4"/>
    <sheet name="Reason For Choosing Investment" sheetId="9" r:id="rId5"/>
    <sheet name="Sheet3" sheetId="10" r:id="rId6"/>
    <sheet name="Sheet5" sheetId="11" r:id="rId7"/>
    <sheet name="Sheet6" sheetId="13" r:id="rId8"/>
    <sheet name="Sheet1" sheetId="14" r:id="rId9"/>
    <sheet name="Data_set 2 - Copy" sheetId="1" r:id="rId10"/>
    <sheet name="Sheet2" sheetId="15" r:id="rId11"/>
  </sheets>
  <definedNames>
    <definedName name="_xlnm._FilterDatabase" localSheetId="9" hidden="1">'Data_set 2 - Copy'!$A$1:$A$36</definedName>
  </definedName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4" l="1" a="1"/>
  <c r="C4" i="14" s="1"/>
  <c r="C4" i="11" a="1"/>
  <c r="C4" i="11" s="1"/>
  <c r="C4" i="10"/>
  <c r="C6" i="10"/>
  <c r="C7" i="10"/>
  <c r="C5" i="10"/>
  <c r="C5" i="9"/>
  <c r="C6" i="9"/>
  <c r="C7" i="9"/>
  <c r="C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<sst xmlns="http://schemas.openxmlformats.org/spreadsheetml/2006/main" count="647" uniqueCount="87">
  <si>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</si>
  <si>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</si>
  <si>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</si>
  <si>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</si>
  <si>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</si>
  <si>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</si>
  <si>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</si>
  <si>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</si>
  <si>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</si>
  <si>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</si>
  <si>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</si>
  <si>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</si>
  <si>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</si>
  <si>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</si>
  <si>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</si>
  <si>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</si>
  <si>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</si>
  <si>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</si>
  <si>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</si>
  <si>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</si>
  <si>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</si>
  <si>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</si>
  <si>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</si>
  <si>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</si>
  <si>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</si>
  <si>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</si>
  <si>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</si>
  <si>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</si>
  <si>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</si>
  <si>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</si>
  <si>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</si>
  <si>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</si>
  <si>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</si>
  <si>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</si>
  <si>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</si>
  <si>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</si>
  <si>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</si>
  <si>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</si>
  <si>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</si>
  <si>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</si>
  <si>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</si>
  <si>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</si>
  <si>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</si>
  <si>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</si>
  <si>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</si>
  <si>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</si>
  <si>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</si>
  <si>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</si>
  <si>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</si>
  <si>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</si>
  <si>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</si>
  <si>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</si>
  <si>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</si>
  <si>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</si>
  <si>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</si>
  <si>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</si>
  <si>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</si>
  <si>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</si>
  <si>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</si>
  <si>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</si>
  <si>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</si>
  <si>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</si>
  <si>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</si>
  <si>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</si>
  <si>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</si>
  <si>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</si>
  <si>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</si>
  <si>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</si>
  <si>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Row Labels</t>
  </si>
  <si>
    <t>Grand Total</t>
  </si>
  <si>
    <t>Count of gender</t>
  </si>
  <si>
    <t>Mean</t>
  </si>
  <si>
    <t>Median</t>
  </si>
  <si>
    <t>Mode</t>
  </si>
  <si>
    <t>Standard Deviation</t>
  </si>
  <si>
    <t>Range</t>
  </si>
  <si>
    <t>Minimum</t>
  </si>
  <si>
    <t>Maximum</t>
  </si>
  <si>
    <t>Sum</t>
  </si>
  <si>
    <t>Count</t>
  </si>
  <si>
    <t>Number of Participants</t>
  </si>
  <si>
    <t>Gender</t>
  </si>
  <si>
    <t>Percentage</t>
  </si>
  <si>
    <t>Savings Objective</t>
  </si>
  <si>
    <t>Participants</t>
  </si>
  <si>
    <t>duration</t>
  </si>
  <si>
    <t>Expected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</si>
</sst>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0" xfId="0" applyBorder="1"/>
    <xf numFmtId="0" fontId="18" fillId="0" borderId="11" xfId="0" applyFont="1" applyBorder="1" applyAlignment="1">
      <alignment horizontal="centerContinuous"/>
    </xf>
    <xf numFmtId="2" fontId="0" fillId="0" borderId="0" xfId="0" applyNumberFormat="1"/>
    <xf numFmtId="2" fontId="0" fillId="0" borderId="0" xfId="42" applyNumberFormat="1" applyFont="1"/>
    <xf numFmtId="0" fontId="13" fillId="34" borderId="12" xfId="0" applyFont="1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1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Gender</a:t>
            </a:r>
            <a:r>
              <a:rPr lang="en-IN" sz="1600" b="1" baseline="0"/>
              <a:t> Distribution of Participants 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6-44DE-AF48-EB87333928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6-44DE-AF48-EB87333928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</c:v>
              </c:pt>
              <c:pt idx="1">
                <c:v>12</c:v>
              </c:pt>
            </c:numLit>
          </c:val>
          <c:extLst>
            <c:ext xmlns:c16="http://schemas.microsoft.com/office/drawing/2014/chart" uri="{C3380CC4-5D6E-409C-BE32-E72D297353CC}">
              <c16:uniqueId val="{00000000-24CD-4005-BBAD-9B03ACA31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[Business_Analytics_Excel.xlsx]Most Preferred Investment Avenu!PivotTable2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Most</a:t>
            </a:r>
            <a:r>
              <a:rPr lang="en-US" b="1" baseline="0"/>
              <a:t> Preferred </a:t>
            </a:r>
            <a:r>
              <a:rPr lang="en-IN" b="1" baseline="0"/>
              <a:t>Investment Avenue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Preferred Investment Avenu'!$B$3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'Most Preferred Investment Avenu'!$A$4:$A$8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Public Provident Fund</c:v>
                </c:pt>
              </c:strCache>
            </c:strRef>
          </c:cat>
          <c:val>
            <c:numRef>
              <c:f>'Most Preferred Investment Avenu'!$B$4:$B$8</c:f>
              <c:numCache>
                <c:formatCode>General</c:formatCode>
                <c:ptCount val="4"/>
                <c:pt idx="0">
                  <c:v>15</c:v>
                </c:pt>
                <c:pt idx="1">
                  <c:v>9</c:v>
                </c:pt>
                <c:pt idx="2">
                  <c:v>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5-4861-9AC5-FC75EBFFCE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7102399"/>
        <c:axId val="487441551"/>
      </c:barChart>
      <c:catAx>
        <c:axId val="4171023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41551"/>
        <c:crosses val="autoZero"/>
        <c:auto val="1"/>
        <c:lblAlgn val="ctr"/>
        <c:lblOffset val="100"/>
        <c:noMultiLvlLbl val="0"/>
      </c:catAx>
      <c:valAx>
        <c:axId val="48744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0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[Business_Analytics_Excel.xlsx]Reason For Choosing Investment!PivotTable1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Reason</a:t>
            </a:r>
            <a:r>
              <a:rPr lang="en-US" b="1" baseline="0"/>
              <a:t> For Choosing Equity Investment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'Reason For Choosing Investment'!$B$3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'Reason For Choosing Investment'!$A$4:$A$7</c:f>
              <c:strCache>
                <c:ptCount val="3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</c:strCache>
            </c:strRef>
          </c:cat>
          <c:val>
            <c:numRef>
              <c:f>'Reason For Choosing Investment'!$B$4:$B$7</c:f>
              <c:numCache>
                <c:formatCode>General</c:formatCode>
                <c:ptCount val="3"/>
                <c:pt idx="0">
                  <c:v>25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48-4D16-B10C-0C5DA03F4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1435792"/>
        <c:axId val="1381430512"/>
      </c:barChart>
      <c:catAx>
        <c:axId val="1381435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30512"/>
        <c:crosses val="autoZero"/>
        <c:auto val="1"/>
        <c:lblAlgn val="ctr"/>
        <c:lblOffset val="100"/>
        <c:noMultiLvlLbl val="0"/>
      </c:catAx>
      <c:valAx>
        <c:axId val="138143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3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Participants</a:t>
            </a:r>
            <a:r>
              <a:rPr lang="en-US" b="1" baseline="0"/>
              <a:t> Savings Objectives</a:t>
            </a:r>
          </a:p>
        </c:rich>
      </c:tx>
      <c:layout>
        <c:manualLayout>
          <c:xMode val="edge"/>
          <c:yMode val="edge"/>
          <c:x val="0.239645669291338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21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9-4D8F-8762-BB06B3D68A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54387456"/>
        <c:axId val="1354395616"/>
      </c:barChart>
      <c:catAx>
        <c:axId val="135438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95616"/>
        <c:crosses val="autoZero"/>
        <c:auto val="1"/>
        <c:lblAlgn val="ctr"/>
        <c:lblOffset val="100"/>
        <c:noMultiLvlLbl val="0"/>
      </c:catAx>
      <c:valAx>
        <c:axId val="135439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Common</a:t>
            </a:r>
            <a:r>
              <a:rPr lang="en-US" b="1" baseline="0"/>
              <a:t> Source of Investment Information</a:t>
            </a:r>
            <a:endParaRPr lang="en-US" b="1"/>
          </a:p>
        </c:rich>
      </c:tx>
      <c:layout>
        <c:manualLayout>
          <c:xMode val="edge"/>
          <c:yMode val="edge"/>
          <c:x val="0.1458471128608923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Newspapers and Magazines</c:v>
                </c:pt>
                <c:pt idx="1">
                  <c:v>Financial Consultants</c:v>
                </c:pt>
                <c:pt idx="2">
                  <c:v>Television</c:v>
                </c:pt>
                <c:pt idx="3">
                  <c:v>Internet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13</c:v>
                </c:pt>
                <c:pt idx="1">
                  <c:v>13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D-481B-90BE-288491C715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2050096"/>
        <c:axId val="1562051056"/>
      </c:barChart>
      <c:catAx>
        <c:axId val="1562050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51056"/>
        <c:crosses val="autoZero"/>
        <c:auto val="1"/>
        <c:lblAlgn val="ctr"/>
        <c:lblOffset val="100"/>
        <c:noMultiLvlLbl val="0"/>
      </c:catAx>
      <c:valAx>
        <c:axId val="156205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05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Investment Duration of Participants</a:t>
            </a:r>
          </a:p>
        </c:rich>
      </c:tx>
      <c:layout>
        <c:manualLayout>
          <c:xMode val="edge"/>
          <c:yMode val="edge"/>
          <c:x val="0.2345417760279964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Sheet6!$A$4:$A$8</c:f>
              <c:strCache>
                <c:ptCount val="4"/>
                <c:pt idx="0">
                  <c:v>3-5 years</c:v>
                </c:pt>
                <c:pt idx="1">
                  <c:v>1-3 years</c:v>
                </c:pt>
                <c:pt idx="2">
                  <c:v>Less than 1 year</c:v>
                </c:pt>
                <c:pt idx="3">
                  <c:v>More than 5 years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17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B-41EA-BC5E-93E3B432D4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9357632"/>
        <c:axId val="1669348992"/>
      </c:barChart>
      <c:catAx>
        <c:axId val="166935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48992"/>
        <c:crosses val="autoZero"/>
        <c:auto val="1"/>
        <c:lblAlgn val="ctr"/>
        <c:lblOffset val="100"/>
        <c:noMultiLvlLbl val="0"/>
      </c:catAx>
      <c:valAx>
        <c:axId val="166934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[Business_Analytics_Excel.xlsx]Sheet1!PivotTable1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Participants </a:t>
            </a:r>
            <a:r>
              <a:rPr lang="en-IN" b="1"/>
              <a:t>Investment</a:t>
            </a:r>
            <a:r>
              <a:rPr lang="en-US" b="1" baseline="0"/>
              <a:t> </a:t>
            </a:r>
            <a:r>
              <a:rPr lang="en-IN" b="1" baseline="0"/>
              <a:t>Expectations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Sheet1!$A$4:$A$7</c:f>
              <c:strCache>
                <c:ptCount val="3"/>
                <c:pt idx="0">
                  <c:v>20%-30%</c:v>
                </c:pt>
                <c:pt idx="1">
                  <c:v>30%-40%</c:v>
                </c:pt>
                <c:pt idx="2">
                  <c:v>10%-20%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27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9-498B-99D1-84F51AC24F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9571872"/>
        <c:axId val="1699580032"/>
      </c:barChart>
      <c:catAx>
        <c:axId val="1699571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80032"/>
        <c:crosses val="autoZero"/>
        <c:auto val="1"/>
        <c:lblAlgn val="ctr"/>
        <c:lblOffset val="100"/>
        <c:noMultiLvlLbl val="0"/>
      </c:catAx>
      <c:valAx>
        <c:axId val="1699580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57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Age</a:t>
            </a:r>
            <a:r>
              <a:rPr lang="en-IN" b="1" baseline="0"/>
              <a:t> vs Mutual Funds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Mutual_Funds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Sheet2!$A$2:$A$36</c:f>
              <c:numCache>
                <c:formatCode>General</c:formatCode>
                <c:ptCount val="35"/>
                <c:pt idx="0">
                  <c:v>34</c:v>
                </c:pt>
                <c:pt idx="1">
                  <c:v>23</c:v>
                </c:pt>
                <c:pt idx="2">
                  <c:v>30</c:v>
                </c:pt>
                <c:pt idx="3">
                  <c:v>22</c:v>
                </c:pt>
                <c:pt idx="4">
                  <c:v>24</c:v>
                </c:pt>
                <c:pt idx="5">
                  <c:v>24</c:v>
                </c:pt>
                <c:pt idx="6">
                  <c:v>21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29</c:v>
                </c:pt>
                <c:pt idx="11">
                  <c:v>21</c:v>
                </c:pt>
                <c:pt idx="12">
                  <c:v>25</c:v>
                </c:pt>
                <c:pt idx="13">
                  <c:v>27</c:v>
                </c:pt>
                <c:pt idx="14">
                  <c:v>28</c:v>
                </c:pt>
                <c:pt idx="15">
                  <c:v>27</c:v>
                </c:pt>
                <c:pt idx="16">
                  <c:v>29</c:v>
                </c:pt>
                <c:pt idx="17">
                  <c:v>26</c:v>
                </c:pt>
                <c:pt idx="18">
                  <c:v>24</c:v>
                </c:pt>
                <c:pt idx="19">
                  <c:v>27</c:v>
                </c:pt>
                <c:pt idx="20">
                  <c:v>25</c:v>
                </c:pt>
                <c:pt idx="21">
                  <c:v>26</c:v>
                </c:pt>
                <c:pt idx="22">
                  <c:v>32</c:v>
                </c:pt>
                <c:pt idx="23">
                  <c:v>26</c:v>
                </c:pt>
                <c:pt idx="24">
                  <c:v>29</c:v>
                </c:pt>
                <c:pt idx="25">
                  <c:v>34</c:v>
                </c:pt>
                <c:pt idx="26">
                  <c:v>27</c:v>
                </c:pt>
                <c:pt idx="27">
                  <c:v>31</c:v>
                </c:pt>
                <c:pt idx="28">
                  <c:v>27</c:v>
                </c:pt>
                <c:pt idx="29">
                  <c:v>26</c:v>
                </c:pt>
                <c:pt idx="30">
                  <c:v>30</c:v>
                </c:pt>
                <c:pt idx="31">
                  <c:v>30</c:v>
                </c:pt>
                <c:pt idx="32">
                  <c:v>25</c:v>
                </c:pt>
                <c:pt idx="33">
                  <c:v>31</c:v>
                </c:pt>
                <c:pt idx="34">
                  <c:v>29</c:v>
                </c:pt>
              </c:numCache>
            </c:numRef>
          </c:xVal>
          <c:yVal>
            <c:numRef>
              <c:f>Sheet2!$B$2:$B$36</c:f>
              <c:numCache>
                <c:formatCode>General</c:formatCode>
                <c:ptCount val="3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5</c:v>
                </c:pt>
                <c:pt idx="33">
                  <c:v>2</c:v>
                </c:pt>
                <c:pt idx="34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E-4E58-9904-2E9514CE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608464"/>
        <c:axId val="1660614224"/>
      </c:scatterChart>
      <c:valAx>
        <c:axId val="16606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14224"/>
        <c:crosses val="autoZero"/>
        <c:crossBetween val="midCat"/>
      </c:valAx>
      <c:valAx>
        <c:axId val="16606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Mutual</a:t>
                </a:r>
                <a:r>
                  <a:rPr lang="en-IN" b="1" baseline="0"/>
                  <a:t> Funds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60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221455</xdr:colOff>
      <xdr:row>4</xdr:row>
      <xdr:rowOff>114301</xdr:rowOff>
    </xdr:from>
    <xdr:to>
      <xdr:col>13</xdr:col>
      <xdr:colOff>259555</xdr:colOff>
      <xdr:row>19</xdr:row>
      <xdr:rowOff>142876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533615-B261-7440-A375-FDF5AAD2C8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450055</xdr:colOff>
      <xdr:row>6</xdr:row>
      <xdr:rowOff>133349</xdr:rowOff>
    </xdr:from>
    <xdr:to>
      <xdr:col>9</xdr:col>
      <xdr:colOff>157162</xdr:colOff>
      <xdr:row>22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E0B797-8A74-5703-9829-42AE34481F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154780</xdr:colOff>
      <xdr:row>6</xdr:row>
      <xdr:rowOff>157162</xdr:rowOff>
    </xdr:from>
    <xdr:to>
      <xdr:col>10</xdr:col>
      <xdr:colOff>192880</xdr:colOff>
      <xdr:row>22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9B29F-9358-E0F2-F43A-5D739FFDB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116680</xdr:colOff>
      <xdr:row>8</xdr:row>
      <xdr:rowOff>42862</xdr:rowOff>
    </xdr:from>
    <xdr:to>
      <xdr:col>11</xdr:col>
      <xdr:colOff>169067</xdr:colOff>
      <xdr:row>23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72425-C3A2-DC61-87AA-8FB8B6212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640555</xdr:colOff>
      <xdr:row>8</xdr:row>
      <xdr:rowOff>142875</xdr:rowOff>
    </xdr:from>
    <xdr:to>
      <xdr:col>10</xdr:col>
      <xdr:colOff>30955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F26FE-C026-EEF3-50DD-94F998FFC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178592</xdr:colOff>
      <xdr:row>6</xdr:row>
      <xdr:rowOff>176212</xdr:rowOff>
    </xdr:from>
    <xdr:to>
      <xdr:col>11</xdr:col>
      <xdr:colOff>216692</xdr:colOff>
      <xdr:row>22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33DE2-3D76-8DEC-5F3C-3D94AD427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192880</xdr:colOff>
      <xdr:row>7</xdr:row>
      <xdr:rowOff>166688</xdr:rowOff>
    </xdr:from>
    <xdr:to>
      <xdr:col>10</xdr:col>
      <xdr:colOff>230980</xdr:colOff>
      <xdr:row>23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EF4C5-9E58-1612-63B3-902642C6B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88105</xdr:colOff>
      <xdr:row>14</xdr:row>
      <xdr:rowOff>100013</xdr:rowOff>
    </xdr:from>
    <xdr:to>
      <xdr:col>15</xdr:col>
      <xdr:colOff>126205</xdr:colOff>
      <xdr:row>29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DE3FBB-D73C-92DC-BD56-5839E8A7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dbano Jidge" refreshedDate="46216.574600810185" createdVersion="8" refreshedVersion="8" minRefreshableVersion="3" recordCount="35" xr:uid="{A2C3D1E3-5517-4153-BB98-5E620734307E}">
  <cacheSource type="worksheet">
    <worksheetSource ref="A1:A36" sheet="Data_set 2 - Copy"/>
  </cacheSource>
  <cacheFields count="1"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adbano Jidge" refreshedDate="46221.689388425926" createdVersion="8" refreshedVersion="8" minRefreshableVersion="3" recordCount="35" xr:uid="{38B2A7C2-100C-479C-8951-489060E9FAEC}">
  <cacheSource type="worksheet">
    <worksheetSource name="Table1"/>
  </cacheSource>
  <cacheFields count="24">
    <cacheField name="gender" numFmtId="0">
      <sharedItems/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/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/>
    </cacheField>
    <cacheField name="Factor" numFmtId="0">
      <sharedItems/>
    </cacheField>
    <cacheField name="Objective" numFmtId="0">
      <sharedItems/>
    </cacheField>
    <cacheField name="Purpose" numFmtId="0">
      <sharedItems/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 count="3">
        <s v="20%-30%"/>
        <s v="10%-20%"/>
        <s v="30%-40%"/>
      </sharedItems>
    </cacheField>
    <cacheField name="Avenue" numFmtId="0">
      <sharedItems count="4">
        <s v="Mutual Fund"/>
        <s v="Equity"/>
        <s v="Fixed Deposits"/>
        <s v="Public Provident Fund"/>
      </sharedItems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 count="3">
        <s v="Capital Appreciation"/>
        <s v="Dividend"/>
        <s v="Liquidity"/>
      </sharedItems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Female"/>
    <n v="34"/>
    <s v="Yes"/>
    <n v="1"/>
    <n v="2"/>
    <n v="5"/>
    <n v="3"/>
    <n v="7"/>
    <n v="6"/>
    <n v="4"/>
    <s v="Yes"/>
    <s v="Returns"/>
    <s v="Capital Appreciation"/>
    <s v="Wealth Creation"/>
    <x v="0"/>
    <s v="Monthly"/>
    <x v="0"/>
    <x v="0"/>
    <x v="0"/>
    <x v="0"/>
    <s v="Better Returns"/>
    <s v="Safe Investment"/>
    <s v="Fixed Returns"/>
    <x v="0"/>
  </r>
  <r>
    <s v="Female"/>
    <n v="23"/>
    <s v="Yes"/>
    <n v="4"/>
    <n v="3"/>
    <n v="2"/>
    <n v="1"/>
    <n v="5"/>
    <n v="6"/>
    <n v="7"/>
    <s v="No"/>
    <s v="Locking Period"/>
    <s v="Capital Appreciation"/>
    <s v="Wealth Creation"/>
    <x v="1"/>
    <s v="Weekly"/>
    <x v="0"/>
    <x v="0"/>
    <x v="1"/>
    <x v="1"/>
    <s v="Better Returns"/>
    <s v="Safe Investment"/>
    <s v="High Interest Rates"/>
    <x v="1"/>
  </r>
  <r>
    <s v="Male"/>
    <n v="30"/>
    <s v="Yes"/>
    <n v="3"/>
    <n v="6"/>
    <n v="4"/>
    <n v="2"/>
    <n v="5"/>
    <n v="1"/>
    <n v="7"/>
    <s v="Yes"/>
    <s v="Returns"/>
    <s v="Capital Appreciation"/>
    <s v="Wealth Creation"/>
    <x v="2"/>
    <s v="Daily"/>
    <x v="0"/>
    <x v="1"/>
    <x v="0"/>
    <x v="0"/>
    <s v="Tax Benefits"/>
    <s v="Assured Returns"/>
    <s v="Fixed Returns"/>
    <x v="2"/>
  </r>
  <r>
    <s v="Female"/>
    <n v="22"/>
    <s v="Yes"/>
    <n v="2"/>
    <n v="1"/>
    <n v="3"/>
    <n v="7"/>
    <n v="6"/>
    <n v="4"/>
    <n v="5"/>
    <s v="Yes"/>
    <s v="Returns"/>
    <s v="Income"/>
    <s v="Wealth Creation"/>
    <x v="3"/>
    <s v="Daily"/>
    <x v="1"/>
    <x v="1"/>
    <x v="0"/>
    <x v="1"/>
    <s v="Fund Diversification"/>
    <s v="Tax Incentives"/>
    <s v="High Interest Rates"/>
    <x v="3"/>
  </r>
  <r>
    <s v="Female"/>
    <n v="24"/>
    <s v="No"/>
    <n v="2"/>
    <n v="1"/>
    <n v="3"/>
    <n v="6"/>
    <n v="4"/>
    <n v="5"/>
    <n v="7"/>
    <s v="No"/>
    <s v="Returns"/>
    <s v="Income"/>
    <s v="Wealth Creation"/>
    <x v="3"/>
    <s v="Daily"/>
    <x v="0"/>
    <x v="1"/>
    <x v="0"/>
    <x v="0"/>
    <s v="Better Returns"/>
    <s v="Safe Investment"/>
    <s v="Risk Free"/>
    <x v="3"/>
  </r>
  <r>
    <s v="Male"/>
    <n v="24"/>
    <s v="No"/>
    <n v="7"/>
    <n v="5"/>
    <n v="4"/>
    <n v="6"/>
    <n v="3"/>
    <n v="1"/>
    <n v="2"/>
    <s v="No"/>
    <s v="Risk"/>
    <s v="Capital Appreciation"/>
    <s v="Wealth Creation"/>
    <x v="0"/>
    <s v="Daily"/>
    <x v="2"/>
    <x v="0"/>
    <x v="0"/>
    <x v="2"/>
    <s v="Fund Diversification"/>
    <s v="Safe Investment"/>
    <s v="Risk Free"/>
    <x v="3"/>
  </r>
  <r>
    <s v="Female"/>
    <n v="21"/>
    <s v="Yes"/>
    <n v="2"/>
    <n v="3"/>
    <n v="7"/>
    <n v="4"/>
    <n v="6"/>
    <n v="1"/>
    <n v="5"/>
    <s v="Yes"/>
    <s v="Risk"/>
    <s v="Capital Appreciation"/>
    <s v="Wealth Creation"/>
    <x v="2"/>
    <s v="Monthly"/>
    <x v="0"/>
    <x v="0"/>
    <x v="0"/>
    <x v="0"/>
    <s v="Better Returns"/>
    <s v="Assured Returns"/>
    <s v="Risk Free"/>
    <x v="0"/>
  </r>
  <r>
    <s v="Female"/>
    <n v="35"/>
    <s v="Yes"/>
    <n v="2"/>
    <n v="4"/>
    <n v="7"/>
    <n v="5"/>
    <n v="3"/>
    <n v="1"/>
    <n v="6"/>
    <s v="Yes"/>
    <s v="Returns"/>
    <s v="Growth"/>
    <s v="Savings for Future"/>
    <x v="0"/>
    <s v="Weekly"/>
    <x v="0"/>
    <x v="1"/>
    <x v="0"/>
    <x v="0"/>
    <s v="Fund Diversification"/>
    <s v="Safe Investment"/>
    <s v="Fixed Returns"/>
    <x v="2"/>
  </r>
  <r>
    <s v="Male"/>
    <n v="31"/>
    <s v="Yes"/>
    <n v="1"/>
    <n v="3"/>
    <n v="7"/>
    <n v="4"/>
    <n v="5"/>
    <n v="2"/>
    <n v="6"/>
    <s v="Yes"/>
    <s v="Returns"/>
    <s v="Capital Appreciation"/>
    <s v="Wealth Creation"/>
    <x v="2"/>
    <s v="Monthly"/>
    <x v="2"/>
    <x v="2"/>
    <x v="0"/>
    <x v="0"/>
    <s v="Fund Diversification"/>
    <s v="Assured Returns"/>
    <s v="Fixed Returns"/>
    <x v="0"/>
  </r>
  <r>
    <s v="Female"/>
    <n v="35"/>
    <s v="Yes"/>
    <n v="2"/>
    <n v="4"/>
    <n v="7"/>
    <n v="5"/>
    <n v="3"/>
    <n v="1"/>
    <n v="6"/>
    <s v="Yes"/>
    <s v="Risk"/>
    <s v="Growth"/>
    <s v="Savings for Future"/>
    <x v="2"/>
    <s v="Monthly"/>
    <x v="0"/>
    <x v="0"/>
    <x v="0"/>
    <x v="0"/>
    <s v="Better Returns"/>
    <s v="Assured Returns"/>
    <s v="Risk Free"/>
    <x v="1"/>
  </r>
  <r>
    <s v="Female"/>
    <n v="29"/>
    <s v="Yes"/>
    <n v="2"/>
    <n v="5"/>
    <n v="7"/>
    <n v="6"/>
    <n v="3"/>
    <n v="1"/>
    <n v="4"/>
    <s v="Yes"/>
    <s v="Risk"/>
    <s v="Capital Appreciation"/>
    <s v="Wealth Creation"/>
    <x v="0"/>
    <s v="Monthly"/>
    <x v="0"/>
    <x v="0"/>
    <x v="0"/>
    <x v="0"/>
    <s v="Fund Diversification"/>
    <s v="Assured Returns"/>
    <s v="Fixed Returns"/>
    <x v="1"/>
  </r>
  <r>
    <s v="Male"/>
    <n v="21"/>
    <s v="No"/>
    <n v="1"/>
    <n v="2"/>
    <n v="3"/>
    <n v="4"/>
    <n v="5"/>
    <n v="6"/>
    <n v="7"/>
    <s v="No"/>
    <s v="Returns"/>
    <s v="Capital Appreciation"/>
    <s v="Savings for Future"/>
    <x v="0"/>
    <s v="Weekly"/>
    <x v="0"/>
    <x v="0"/>
    <x v="2"/>
    <x v="1"/>
    <s v="Better Returns"/>
    <s v="Safe Investment"/>
    <s v="Risk Free"/>
    <x v="3"/>
  </r>
  <r>
    <s v="Female"/>
    <n v="25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x v="2"/>
    <x v="1"/>
    <x v="1"/>
    <s v="Better Returns"/>
    <s v="Assured Returns"/>
    <s v="Risk Free"/>
    <x v="1"/>
  </r>
  <r>
    <s v="Female"/>
    <n v="27"/>
    <s v="Yes"/>
    <n v="2"/>
    <n v="3"/>
    <n v="7"/>
    <n v="5"/>
    <n v="4"/>
    <n v="1"/>
    <n v="6"/>
    <s v="Yes"/>
    <s v="Returns"/>
    <s v="Capital Appreciation"/>
    <s v="Wealth Creation"/>
    <x v="0"/>
    <s v="Monthly"/>
    <x v="0"/>
    <x v="0"/>
    <x v="1"/>
    <x v="0"/>
    <s v="Fund Diversification"/>
    <s v="Assured Returns"/>
    <s v="Risk Free"/>
    <x v="0"/>
  </r>
  <r>
    <s v="Male"/>
    <n v="28"/>
    <s v="Yes"/>
    <n v="3"/>
    <n v="2"/>
    <n v="7"/>
    <n v="5"/>
    <n v="4"/>
    <n v="1"/>
    <n v="6"/>
    <s v="Yes"/>
    <s v="Risk"/>
    <s v="Growth"/>
    <s v="Wealth Creation"/>
    <x v="0"/>
    <s v="Monthly"/>
    <x v="0"/>
    <x v="2"/>
    <x v="1"/>
    <x v="0"/>
    <s v="Fund Diversification"/>
    <s v="Assured Returns"/>
    <s v="Risk Free"/>
    <x v="2"/>
  </r>
  <r>
    <s v="Female"/>
    <n v="27"/>
    <s v="Yes"/>
    <n v="3"/>
    <n v="2"/>
    <n v="7"/>
    <n v="4"/>
    <n v="5"/>
    <n v="1"/>
    <n v="6"/>
    <s v="Yes"/>
    <s v="Returns"/>
    <s v="Capital Appreciation"/>
    <s v="Wealth Creation"/>
    <x v="0"/>
    <s v="Monthly"/>
    <x v="0"/>
    <x v="0"/>
    <x v="0"/>
    <x v="0"/>
    <s v="Better Returns"/>
    <s v="Assured Returns"/>
    <s v="Risk Free"/>
    <x v="1"/>
  </r>
  <r>
    <s v="Female"/>
    <n v="29"/>
    <s v="Yes"/>
    <n v="3"/>
    <n v="2"/>
    <n v="7"/>
    <n v="4"/>
    <n v="5"/>
    <n v="1"/>
    <n v="6"/>
    <s v="Yes"/>
    <s v="Risk"/>
    <s v="Capital Appreciation"/>
    <s v="Wealth Creation"/>
    <x v="0"/>
    <s v="Monthly"/>
    <x v="0"/>
    <x v="0"/>
    <x v="0"/>
    <x v="0"/>
    <s v="Better Returns"/>
    <s v="Assured Returns"/>
    <s v="Risk Free"/>
    <x v="0"/>
  </r>
  <r>
    <s v="Male"/>
    <n v="26"/>
    <s v="Yes"/>
    <n v="3"/>
    <n v="4"/>
    <n v="6"/>
    <n v="5"/>
    <n v="1"/>
    <n v="2"/>
    <n v="7"/>
    <s v="Yes"/>
    <s v="Risk"/>
    <s v="Capital Appreciation"/>
    <s v="Wealth Creation"/>
    <x v="2"/>
    <s v="Monthly"/>
    <x v="0"/>
    <x v="2"/>
    <x v="1"/>
    <x v="0"/>
    <s v="Fund Diversification"/>
    <s v="Assured Returns"/>
    <s v="Risk Free"/>
    <x v="0"/>
  </r>
  <r>
    <s v="Female"/>
    <n v="24"/>
    <s v="Yes"/>
    <n v="2"/>
    <n v="4"/>
    <n v="5"/>
    <n v="6"/>
    <n v="3"/>
    <n v="1"/>
    <n v="7"/>
    <s v="Yes"/>
    <s v="Risk"/>
    <s v="Capital Appreciation"/>
    <s v="Wealth Creation"/>
    <x v="2"/>
    <s v="Monthly"/>
    <x v="0"/>
    <x v="1"/>
    <x v="1"/>
    <x v="0"/>
    <s v="Better Returns"/>
    <s v="Assured Returns"/>
    <s v="Risk Free"/>
    <x v="0"/>
  </r>
  <r>
    <s v="Female"/>
    <n v="27"/>
    <s v="Yes"/>
    <n v="3"/>
    <n v="4"/>
    <n v="6"/>
    <n v="5"/>
    <n v="2"/>
    <n v="1"/>
    <n v="7"/>
    <s v="Yes"/>
    <s v="Returns"/>
    <s v="Capital Appreciation"/>
    <s v="Wealth Creation"/>
    <x v="2"/>
    <s v="Monthly"/>
    <x v="0"/>
    <x v="0"/>
    <x v="0"/>
    <x v="0"/>
    <s v="Better Returns"/>
    <s v="Assured Returns"/>
    <s v="Risk Free"/>
    <x v="1"/>
  </r>
  <r>
    <s v="Male"/>
    <n v="25"/>
    <s v="Yes"/>
    <n v="2"/>
    <n v="4"/>
    <n v="6"/>
    <n v="5"/>
    <n v="3"/>
    <n v="1"/>
    <n v="7"/>
    <s v="Yes"/>
    <s v="Risk"/>
    <s v="Growth"/>
    <s v="Savings for Future"/>
    <x v="2"/>
    <s v="Weekly"/>
    <x v="0"/>
    <x v="3"/>
    <x v="1"/>
    <x v="2"/>
    <s v="Better Returns"/>
    <s v="Assured Returns"/>
    <s v="Risk Free"/>
    <x v="1"/>
  </r>
  <r>
    <s v="Female"/>
    <n v="26"/>
    <s v="Yes"/>
    <n v="2"/>
    <n v="3"/>
    <n v="7"/>
    <n v="5"/>
    <n v="4"/>
    <n v="1"/>
    <n v="6"/>
    <s v="Yes"/>
    <s v="Returns"/>
    <s v="Capital Appreciation"/>
    <s v="Wealth Creation"/>
    <x v="2"/>
    <s v="Monthly"/>
    <x v="2"/>
    <x v="3"/>
    <x v="0"/>
    <x v="0"/>
    <s v="Better Returns"/>
    <s v="Assured Returns"/>
    <s v="Risk Free"/>
    <x v="0"/>
  </r>
  <r>
    <s v="Female"/>
    <n v="32"/>
    <s v="Yes"/>
    <n v="3"/>
    <n v="4"/>
    <n v="7"/>
    <n v="5"/>
    <n v="1"/>
    <n v="2"/>
    <n v="6"/>
    <s v="Yes"/>
    <s v="Risk"/>
    <s v="Growth"/>
    <s v="Wealth Creation"/>
    <x v="2"/>
    <s v="Monthly"/>
    <x v="0"/>
    <x v="0"/>
    <x v="0"/>
    <x v="0"/>
    <s v="Better Returns"/>
    <s v="Assured Returns"/>
    <s v="Fixed Returns"/>
    <x v="1"/>
  </r>
  <r>
    <s v="Male"/>
    <n v="26"/>
    <s v="Yes"/>
    <n v="3"/>
    <n v="4"/>
    <n v="6"/>
    <n v="5"/>
    <n v="1"/>
    <n v="2"/>
    <n v="7"/>
    <s v="Yes"/>
    <s v="Returns"/>
    <s v="Capital Appreciation"/>
    <s v="Wealth Creation"/>
    <x v="2"/>
    <s v="Monthly"/>
    <x v="0"/>
    <x v="0"/>
    <x v="0"/>
    <x v="1"/>
    <s v="Fund Diversification"/>
    <s v="Assured Returns"/>
    <s v="Fixed Returns"/>
    <x v="1"/>
  </r>
  <r>
    <s v="Female"/>
    <n v="29"/>
    <s v="Yes"/>
    <n v="2"/>
    <n v="3"/>
    <n v="6"/>
    <n v="5"/>
    <n v="1"/>
    <n v="4"/>
    <n v="7"/>
    <s v="Yes"/>
    <s v="Returns"/>
    <s v="Capital Appreciation"/>
    <s v="Wealth Creation"/>
    <x v="0"/>
    <s v="Monthly"/>
    <x v="0"/>
    <x v="1"/>
    <x v="0"/>
    <x v="0"/>
    <s v="Better Returns"/>
    <s v="Assured Returns"/>
    <s v="Risk Free"/>
    <x v="2"/>
  </r>
  <r>
    <s v="Female"/>
    <n v="34"/>
    <s v="Yes"/>
    <n v="5"/>
    <n v="4"/>
    <n v="3"/>
    <n v="2"/>
    <n v="7"/>
    <n v="1"/>
    <n v="6"/>
    <s v="Yes"/>
    <s v="Returns"/>
    <s v="Income"/>
    <s v="Returns"/>
    <x v="2"/>
    <s v="Monthly"/>
    <x v="1"/>
    <x v="0"/>
    <x v="0"/>
    <x v="0"/>
    <s v="Tax Benefits"/>
    <s v="Safe Investment"/>
    <s v="Fixed Returns"/>
    <x v="0"/>
  </r>
  <r>
    <s v="Male"/>
    <n v="27"/>
    <s v="Yes"/>
    <n v="4"/>
    <n v="5"/>
    <n v="1"/>
    <n v="2"/>
    <n v="7"/>
    <n v="3"/>
    <n v="6"/>
    <s v="No"/>
    <s v="Returns"/>
    <s v="Growth"/>
    <s v="Wealth Creation"/>
    <x v="0"/>
    <s v="Monthly"/>
    <x v="1"/>
    <x v="0"/>
    <x v="2"/>
    <x v="0"/>
    <s v="Tax Benefits"/>
    <s v="Safe Investment"/>
    <s v="Fixed Returns"/>
    <x v="2"/>
  </r>
  <r>
    <s v="Female"/>
    <n v="31"/>
    <s v="Yes"/>
    <n v="2"/>
    <n v="4"/>
    <n v="7"/>
    <n v="6"/>
    <n v="3"/>
    <n v="1"/>
    <n v="5"/>
    <s v="Yes"/>
    <s v="Returns"/>
    <s v="Capital Appreciation"/>
    <s v="Wealth Creation"/>
    <x v="2"/>
    <s v="Monthly"/>
    <x v="0"/>
    <x v="2"/>
    <x v="0"/>
    <x v="0"/>
    <s v="Better Returns"/>
    <s v="Assured Returns"/>
    <s v="Fixed Returns"/>
    <x v="1"/>
  </r>
  <r>
    <s v="Female"/>
    <n v="27"/>
    <s v="Yes"/>
    <n v="2"/>
    <n v="4"/>
    <n v="7"/>
    <n v="5"/>
    <n v="1"/>
    <n v="3"/>
    <n v="6"/>
    <s v="Yes"/>
    <s v="Returns"/>
    <s v="Capital Appreciation"/>
    <s v="Wealth Creation"/>
    <x v="2"/>
    <s v="Monthly"/>
    <x v="2"/>
    <x v="1"/>
    <x v="1"/>
    <x v="0"/>
    <s v="Fund Diversification"/>
    <s v="Assured Returns"/>
    <s v="Fixed Returns"/>
    <x v="0"/>
  </r>
  <r>
    <s v="Male"/>
    <n v="26"/>
    <s v="Yes"/>
    <n v="2"/>
    <n v="3"/>
    <n v="6"/>
    <n v="4"/>
    <n v="1"/>
    <n v="5"/>
    <n v="7"/>
    <s v="Yes"/>
    <s v="Returns"/>
    <s v="Capital Appreciation"/>
    <s v="Returns"/>
    <x v="0"/>
    <s v="Monthly"/>
    <x v="0"/>
    <x v="2"/>
    <x v="2"/>
    <x v="1"/>
    <s v="Better Returns"/>
    <s v="Safe Investment"/>
    <s v="Risk Free"/>
    <x v="0"/>
  </r>
  <r>
    <s v="Female"/>
    <n v="30"/>
    <s v="Yes"/>
    <n v="1"/>
    <n v="4"/>
    <n v="6"/>
    <n v="5"/>
    <n v="3"/>
    <n v="2"/>
    <n v="7"/>
    <s v="Yes"/>
    <s v="Risk"/>
    <s v="Growth"/>
    <s v="Wealth Creation"/>
    <x v="2"/>
    <s v="Monthly"/>
    <x v="0"/>
    <x v="2"/>
    <x v="1"/>
    <x v="0"/>
    <s v="Better Returns"/>
    <s v="Assured Returns"/>
    <s v="Fixed Returns"/>
    <x v="1"/>
  </r>
  <r>
    <s v="Female"/>
    <n v="30"/>
    <s v="Yes"/>
    <n v="2"/>
    <n v="4"/>
    <n v="7"/>
    <n v="5"/>
    <n v="1"/>
    <n v="3"/>
    <n v="6"/>
    <s v="Yes"/>
    <s v="Returns"/>
    <s v="Capital Appreciation"/>
    <s v="Wealth Creation"/>
    <x v="0"/>
    <s v="Monthly"/>
    <x v="0"/>
    <x v="1"/>
    <x v="0"/>
    <x v="0"/>
    <s v="Better Returns"/>
    <s v="Assured Returns"/>
    <s v="Risk Free"/>
    <x v="0"/>
  </r>
  <r>
    <s v="Male"/>
    <n v="25"/>
    <s v="Yes"/>
    <n v="5"/>
    <n v="4"/>
    <n v="7"/>
    <n v="6"/>
    <n v="1"/>
    <n v="2"/>
    <n v="3"/>
    <s v="Yes"/>
    <s v="Risk"/>
    <s v="Growth"/>
    <s v="Savings for Future"/>
    <x v="2"/>
    <s v="Monthly"/>
    <x v="2"/>
    <x v="3"/>
    <x v="1"/>
    <x v="0"/>
    <s v="Better Returns"/>
    <s v="Safe Investment"/>
    <s v="Fixed Returns"/>
    <x v="1"/>
  </r>
  <r>
    <s v="Female"/>
    <n v="31"/>
    <s v="Yes"/>
    <n v="2"/>
    <n v="4"/>
    <n v="7"/>
    <n v="5"/>
    <n v="3"/>
    <n v="1"/>
    <n v="6"/>
    <s v="Yes"/>
    <s v="Risk"/>
    <s v="Growth"/>
    <s v="Wealth Creation"/>
    <x v="0"/>
    <s v="Weekly"/>
    <x v="0"/>
    <x v="1"/>
    <x v="1"/>
    <x v="1"/>
    <s v="Fund Diversification"/>
    <s v="Assured Returns"/>
    <s v="Fixed Returns"/>
    <x v="0"/>
  </r>
  <r>
    <s v="Female"/>
    <n v="29"/>
    <s v="Yes"/>
    <n v="4"/>
    <n v="3"/>
    <n v="5"/>
    <n v="7"/>
    <n v="2"/>
    <n v="1"/>
    <n v="6"/>
    <s v="Yes"/>
    <s v="Returns"/>
    <s v="Capital Appreciation"/>
    <s v="Wealth Creation"/>
    <x v="2"/>
    <s v="Monthly"/>
    <x v="0"/>
    <x v="2"/>
    <x v="0"/>
    <x v="1"/>
    <s v="Better Returns"/>
    <s v="Safe Investment"/>
    <s v="Fixed Returns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D4DAA-E5B8-4D0C-AE0C-92C925474FF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der">
  <location ref="D8:E11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2E643-F00F-44E1-B9BA-BF3DB400E6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Number of Participants" fld="17" subtotal="count" baseField="17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0EC756-0B56-474C-9FE6-FD9748CA4D8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Participants" fld="19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018DB-A009-4D71-A476-52EDA54336F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avings Objective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8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Participants" fld="1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5000B-DFD5-4307-B288-CD99751255B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Source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3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Participants" fld="2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7260D-0AED-4D81-B7A7-935C50941DD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uration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Participants" fld="1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C9F0A-CDEA-4B68-AB82-87DE700A73A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Expected percentage">
  <location ref="A3:B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Number of Participants" fld="1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E4A3F-6B85-4087-BC86-20CB3434A9A5}" name="Table1" displayName="Table1" ref="A1:X36" totalsRowShown="0" headerRowDxfId="25" dataDxfId="24">
  <autoFilter ref="A1:X36" xr:uid="{409E4A3F-6B85-4087-BC86-20CB3434A9A5}"/>
  <tableColumns count="24">
    <tableColumn id="1" xr3:uid="{FD957A1C-AE34-4B72-AB69-639C5758E302}" name="gender" dataDxfId="23"/>
    <tableColumn id="2" xr3:uid="{F0916838-2290-4D63-AAC9-3FA7A748E30E}" name="age" dataDxfId="22"/>
    <tableColumn id="3" xr3:uid="{22F6AF20-7E2C-427B-B30A-B39180DB9B29}" name="Investment_Avenues" dataDxfId="21"/>
    <tableColumn id="4" xr3:uid="{714DF62E-1114-49FC-8C24-90BA0A66B0BF}" name="Mutual_Funds" dataDxfId="20"/>
    <tableColumn id="5" xr3:uid="{3401E813-7239-42E7-BAA4-C316A3E3F7DF}" name="Equity_Market" dataDxfId="19"/>
    <tableColumn id="6" xr3:uid="{2B55BB2B-A3CD-413F-B651-48AE0954F2E9}" name="Debentures" dataDxfId="18"/>
    <tableColumn id="7" xr3:uid="{C49BE5FE-C7BD-4726-AD32-CD4C2EE04AE8}" name="Government_Bonds" dataDxfId="17"/>
    <tableColumn id="8" xr3:uid="{AB28B690-F600-45BD-94E8-22924EDFE16B}" name="Fixed_Deposits" dataDxfId="16"/>
    <tableColumn id="9" xr3:uid="{AAF03373-ED80-47E5-975E-7DBE769506FE}" name="PPF" dataDxfId="15"/>
    <tableColumn id="10" xr3:uid="{BFE55FE6-2AAB-4C63-97E1-B57A4BC06F18}" name="Gold" dataDxfId="14"/>
    <tableColumn id="11" xr3:uid="{0AB7ABCC-E9C3-4C58-8D8C-39A1E1271CE0}" name="Stock_Marktet" dataDxfId="13"/>
    <tableColumn id="12" xr3:uid="{5A6C7429-3CE5-4615-963A-2A020A129BAD}" name="Factor" dataDxfId="12"/>
    <tableColumn id="13" xr3:uid="{A9AFE97A-E069-441E-83D8-AECACFDC3091}" name="Objective" dataDxfId="11"/>
    <tableColumn id="14" xr3:uid="{BA6A7F9D-121A-48BF-A0D2-A29A41BE442C}" name="Purpose" dataDxfId="10"/>
    <tableColumn id="15" xr3:uid="{CAFB2895-D090-477C-8644-021EF89091B0}" name="Duration" dataDxfId="9"/>
    <tableColumn id="16" xr3:uid="{6B7C2442-3724-45BE-9A85-68B1E66FAAED}" name="Invest_Monitor" dataDxfId="8"/>
    <tableColumn id="17" xr3:uid="{B7574AF3-6DB0-4D99-9C2D-586CD7B7D5E3}" name="Expect" dataDxfId="7"/>
    <tableColumn id="18" xr3:uid="{6056671F-62B4-4FD3-AB46-D7BFD1917C74}" name="Avenue" dataDxfId="6"/>
    <tableColumn id="19" xr3:uid="{71651753-A2D3-4699-893C-986EA9E88595}" name="What are your savings objectives?" dataDxfId="5"/>
    <tableColumn id="20" xr3:uid="{EC38A641-A875-4890-93C7-03C5648D4822}" name="Reason_Equity" dataDxfId="4"/>
    <tableColumn id="21" xr3:uid="{B84E6F11-FCA6-4BFA-9FB4-181B86BDF13D}" name="Reason_Mutual" dataDxfId="3"/>
    <tableColumn id="22" xr3:uid="{B9102DA8-0078-453C-8426-3F3239931F8C}" name="Reason_Bonds" dataDxfId="2"/>
    <tableColumn id="23" xr3:uid="{B849327E-F0A1-48D7-AE22-DA447F1116FD}" name="Reason_FD" dataDxfId="1"/>
    <tableColumn id="24" xr3:uid="{20CFD915-86F1-443D-B08E-5D76B3BFE6D2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77943-A794-401E-A2DA-CC06752DDB2E}">
  <dimension ref="A1"/>
  <sheetViews>
    <sheetView workbookViewId="0">
      <selection activeCell="M18" sqref="M18"/>
    </sheetView>
  </sheetViews>
  <sheetFormatPr defaultRowHeight="14.25" x14ac:dyDescent="0.45"/>
  <cols>
    <col min="1" max="1" width="11.9296875" bestFit="1" customWidth="1"/>
    <col min="2" max="2" width="13.39843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3E14-E74B-49B0-830C-30010E90DD89}">
  <dimension ref="D8:E11"/>
  <sheetViews>
    <sheetView workbookViewId="0">
      <selection activeCell="A12" sqref="A12"/>
    </sheetView>
  </sheetViews>
  <sheetFormatPr defaultRowHeight="14.25" x14ac:dyDescent="0.45"/>
  <cols>
    <col min="4" max="4" width="11.9296875" bestFit="1" customWidth="1"/>
    <col min="5" max="5" width="13.3984375" bestFit="1" customWidth="1"/>
  </cols>
  <sheetData>
    <row r="8" spans="4:5" x14ac:dyDescent="0.45">
      <c r="D8" s="1" t="s">
        <v>81</v>
      </c>
      <c r="E8" t="s">
        <v>70</v>
      </c>
    </row>
    <row r="9" spans="4:5" x14ac:dyDescent="0.45">
      <c r="D9" s="2" t="s">
        <v>24</v>
      </c>
      <c r="E9">
        <v>23</v>
      </c>
    </row>
    <row r="10" spans="4:5" x14ac:dyDescent="0.45">
      <c r="D10" s="2" t="s">
        <v>46</v>
      </c>
      <c r="E10">
        <v>12</v>
      </c>
    </row>
    <row r="11" spans="4:5" x14ac:dyDescent="0.45">
      <c r="D11" s="2" t="s">
        <v>69</v>
      </c>
      <c r="E11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3E1F-F1C4-4E4E-BEA7-845A4482A340}">
  <dimension ref="A1:B11"/>
  <sheetViews>
    <sheetView workbookViewId="0"/>
  </sheetViews>
  <sheetFormatPr defaultRowHeight="14.25" x14ac:dyDescent="0.45"/>
  <cols>
    <col min="1" max="1" width="15.59765625" bestFit="1" customWidth="1"/>
    <col min="2" max="2" width="12.33203125" bestFit="1" customWidth="1"/>
  </cols>
  <sheetData>
    <row r="1" spans="1:2" x14ac:dyDescent="0.45">
      <c r="A1" s="5" t="s">
        <v>1</v>
      </c>
      <c r="B1" s="5"/>
    </row>
    <row r="3" spans="1:2" x14ac:dyDescent="0.45">
      <c r="A3" t="s">
        <v>71</v>
      </c>
      <c r="B3" s="6">
        <v>27.714285714285715</v>
      </c>
    </row>
    <row r="4" spans="1:2" x14ac:dyDescent="0.45">
      <c r="A4" t="s">
        <v>72</v>
      </c>
      <c r="B4">
        <v>27</v>
      </c>
    </row>
    <row r="5" spans="1:2" x14ac:dyDescent="0.45">
      <c r="A5" t="s">
        <v>73</v>
      </c>
      <c r="B5">
        <v>27</v>
      </c>
    </row>
    <row r="6" spans="1:2" x14ac:dyDescent="0.45">
      <c r="A6" t="s">
        <v>74</v>
      </c>
      <c r="B6" s="6">
        <v>3.7618161178082223</v>
      </c>
    </row>
    <row r="7" spans="1:2" x14ac:dyDescent="0.45">
      <c r="A7" t="s">
        <v>75</v>
      </c>
      <c r="B7">
        <v>14</v>
      </c>
    </row>
    <row r="8" spans="1:2" x14ac:dyDescent="0.45">
      <c r="A8" t="s">
        <v>76</v>
      </c>
      <c r="B8">
        <v>21</v>
      </c>
    </row>
    <row r="9" spans="1:2" x14ac:dyDescent="0.45">
      <c r="A9" t="s">
        <v>77</v>
      </c>
      <c r="B9">
        <v>35</v>
      </c>
    </row>
    <row r="10" spans="1:2" x14ac:dyDescent="0.45">
      <c r="A10" t="s">
        <v>78</v>
      </c>
      <c r="B10">
        <v>970</v>
      </c>
    </row>
    <row r="11" spans="1:2" ht="14.65" thickBot="1" x14ac:dyDescent="0.5">
      <c r="A11" s="4" t="s">
        <v>79</v>
      </c>
      <c r="B11" s="4">
        <v>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6A05-12FC-4F20-90D2-C0F2E9ED9225}">
  <dimension ref="A3:B8"/>
  <sheetViews>
    <sheetView workbookViewId="0">
      <selection activeCell="A3" activeCellId="1" sqref="A8 A3:B7"/>
    </sheetView>
  </sheetViews>
  <sheetFormatPr defaultRowHeight="14.25" x14ac:dyDescent="0.45"/>
  <cols>
    <col min="1" max="1" width="17.73046875" bestFit="1" customWidth="1"/>
    <col min="2" max="2" width="19.1328125" bestFit="1" customWidth="1"/>
    <col min="3" max="4" width="18.1328125" bestFit="1" customWidth="1"/>
    <col min="5" max="5" width="9.86328125" bestFit="1" customWidth="1"/>
  </cols>
  <sheetData>
    <row r="3" spans="1:2" x14ac:dyDescent="0.45">
      <c r="A3" s="1" t="s">
        <v>68</v>
      </c>
      <c r="B3" t="s">
        <v>80</v>
      </c>
    </row>
    <row r="4" spans="1:2" x14ac:dyDescent="0.45">
      <c r="A4" s="2" t="s">
        <v>32</v>
      </c>
      <c r="B4">
        <v>15</v>
      </c>
    </row>
    <row r="5" spans="1:2" x14ac:dyDescent="0.45">
      <c r="A5" s="2" t="s">
        <v>49</v>
      </c>
      <c r="B5">
        <v>9</v>
      </c>
    </row>
    <row r="6" spans="1:2" x14ac:dyDescent="0.45">
      <c r="A6" s="2" t="s">
        <v>65</v>
      </c>
      <c r="B6">
        <v>8</v>
      </c>
    </row>
    <row r="7" spans="1:2" x14ac:dyDescent="0.45">
      <c r="A7" s="2" t="s">
        <v>67</v>
      </c>
      <c r="B7">
        <v>3</v>
      </c>
    </row>
    <row r="8" spans="1:2" x14ac:dyDescent="0.45">
      <c r="A8" s="2" t="s">
        <v>69</v>
      </c>
      <c r="B8">
        <v>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2C1F-E4AA-4DA1-A2DE-A94E875D0881}">
  <dimension ref="A3:C7"/>
  <sheetViews>
    <sheetView workbookViewId="0">
      <selection activeCell="C4" sqref="C4"/>
    </sheetView>
  </sheetViews>
  <sheetFormatPr defaultRowHeight="14.25" x14ac:dyDescent="0.45"/>
  <cols>
    <col min="1" max="1" width="16.6640625" bestFit="1" customWidth="1"/>
    <col min="2" max="2" width="19.1328125" bestFit="1" customWidth="1"/>
    <col min="3" max="3" width="9.265625" bestFit="1" customWidth="1"/>
  </cols>
  <sheetData>
    <row r="3" spans="1:3" x14ac:dyDescent="0.45">
      <c r="A3" s="1" t="s">
        <v>68</v>
      </c>
      <c r="B3" t="s">
        <v>80</v>
      </c>
      <c r="C3" t="s">
        <v>82</v>
      </c>
    </row>
    <row r="4" spans="1:3" x14ac:dyDescent="0.45">
      <c r="A4" s="2" t="s">
        <v>27</v>
      </c>
      <c r="B4">
        <v>25</v>
      </c>
      <c r="C4" s="6">
        <f>B4/GETPIVOTDATA("Reason_Equity",$A$3)*100</f>
        <v>71.428571428571431</v>
      </c>
    </row>
    <row r="5" spans="1:3" x14ac:dyDescent="0.45">
      <c r="A5" s="2" t="s">
        <v>43</v>
      </c>
      <c r="B5">
        <v>8</v>
      </c>
      <c r="C5" s="6">
        <f t="shared" ref="C5:C7" si="0">B5/GETPIVOTDATA("Reason_Equity",$A$3)*100</f>
        <v>22.857142857142858</v>
      </c>
    </row>
    <row r="6" spans="1:3" x14ac:dyDescent="0.45">
      <c r="A6" s="2" t="s">
        <v>62</v>
      </c>
      <c r="B6">
        <v>2</v>
      </c>
      <c r="C6" s="6">
        <f t="shared" si="0"/>
        <v>5.7142857142857144</v>
      </c>
    </row>
    <row r="7" spans="1:3" x14ac:dyDescent="0.45">
      <c r="A7" s="2" t="s">
        <v>69</v>
      </c>
      <c r="B7">
        <v>35</v>
      </c>
      <c r="C7" s="6">
        <f t="shared" si="0"/>
        <v>100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C803-424D-4AAC-9937-0CC45AD685C4}">
  <dimension ref="A3:C7"/>
  <sheetViews>
    <sheetView tabSelected="1" workbookViewId="0">
      <selection activeCell="C7" sqref="A3:C7"/>
    </sheetView>
  </sheetViews>
  <sheetFormatPr defaultRowHeight="14.25" x14ac:dyDescent="0.45"/>
  <cols>
    <col min="1" max="1" width="17" bestFit="1" customWidth="1"/>
    <col min="2" max="2" width="10.265625" bestFit="1" customWidth="1"/>
    <col min="3" max="3" width="9.265625" bestFit="1" customWidth="1"/>
  </cols>
  <sheetData>
    <row r="3" spans="1:3" x14ac:dyDescent="0.45">
      <c r="A3" s="1" t="s">
        <v>83</v>
      </c>
      <c r="B3" t="s">
        <v>84</v>
      </c>
      <c r="C3" t="s">
        <v>82</v>
      </c>
    </row>
    <row r="4" spans="1:3" x14ac:dyDescent="0.45">
      <c r="A4" s="2" t="s">
        <v>33</v>
      </c>
      <c r="B4">
        <v>21</v>
      </c>
      <c r="C4" s="7">
        <f>B4/GETPIVOTDATA("What are your savings objectives?",$A$3)*100</f>
        <v>60</v>
      </c>
    </row>
    <row r="5" spans="1:3" x14ac:dyDescent="0.45">
      <c r="A5" s="2" t="s">
        <v>42</v>
      </c>
      <c r="B5">
        <v>11</v>
      </c>
      <c r="C5" s="6">
        <f t="shared" ref="C5:C7" si="0">B5/GETPIVOTDATA("What are your savings objectives?",$A$3)*100</f>
        <v>31.428571428571427</v>
      </c>
    </row>
    <row r="6" spans="1:3" x14ac:dyDescent="0.45">
      <c r="A6" s="2" t="s">
        <v>66</v>
      </c>
      <c r="B6">
        <v>3</v>
      </c>
      <c r="C6" s="6">
        <f t="shared" si="0"/>
        <v>8.5714285714285712</v>
      </c>
    </row>
    <row r="7" spans="1:3" x14ac:dyDescent="0.45">
      <c r="A7" s="2" t="s">
        <v>69</v>
      </c>
      <c r="B7">
        <v>35</v>
      </c>
      <c r="C7" s="6">
        <f t="shared" si="0"/>
        <v>100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7B76-B4EC-42F0-84FB-4D29E064CE40}">
  <dimension ref="A3:C8"/>
  <sheetViews>
    <sheetView workbookViewId="0">
      <selection activeCell="C23" sqref="C23"/>
    </sheetView>
  </sheetViews>
  <sheetFormatPr defaultRowHeight="14.25" x14ac:dyDescent="0.45"/>
  <cols>
    <col min="1" max="1" width="22.3984375" bestFit="1" customWidth="1"/>
    <col min="2" max="2" width="13.53125" bestFit="1" customWidth="1"/>
  </cols>
  <sheetData>
    <row r="3" spans="1:3" x14ac:dyDescent="0.45">
      <c r="A3" s="1" t="s">
        <v>23</v>
      </c>
      <c r="B3" t="s">
        <v>84</v>
      </c>
    </row>
    <row r="4" spans="1:3" x14ac:dyDescent="0.45">
      <c r="A4" s="2" t="s">
        <v>37</v>
      </c>
      <c r="B4">
        <v>13</v>
      </c>
      <c r="C4" s="6" cm="1">
        <f t="array" ref="C4:C7">B4:B7/35*100</f>
        <v>37.142857142857146</v>
      </c>
    </row>
    <row r="5" spans="1:3" x14ac:dyDescent="0.45">
      <c r="A5" s="2" t="s">
        <v>45</v>
      </c>
      <c r="B5">
        <v>13</v>
      </c>
      <c r="C5" s="6">
        <v>37.142857142857146</v>
      </c>
    </row>
    <row r="6" spans="1:3" x14ac:dyDescent="0.45">
      <c r="A6" s="2" t="s">
        <v>52</v>
      </c>
      <c r="B6">
        <v>5</v>
      </c>
      <c r="C6" s="6">
        <v>14.285714285714285</v>
      </c>
    </row>
    <row r="7" spans="1:3" x14ac:dyDescent="0.45">
      <c r="A7" s="2" t="s">
        <v>58</v>
      </c>
      <c r="B7">
        <v>4</v>
      </c>
      <c r="C7" s="6">
        <v>11.428571428571429</v>
      </c>
    </row>
    <row r="8" spans="1:3" x14ac:dyDescent="0.45">
      <c r="A8" s="2" t="s">
        <v>69</v>
      </c>
      <c r="B8">
        <v>35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3E19-71AE-441D-A033-2D1323ADBE5B}">
  <dimension ref="A3:B8"/>
  <sheetViews>
    <sheetView workbookViewId="0">
      <selection activeCell="E3" sqref="E3"/>
    </sheetView>
  </sheetViews>
  <sheetFormatPr defaultRowHeight="14.25" x14ac:dyDescent="0.45"/>
  <cols>
    <col min="1" max="1" width="14.3984375" bestFit="1" customWidth="1"/>
    <col min="2" max="2" width="10.265625" bestFit="1" customWidth="1"/>
  </cols>
  <sheetData>
    <row r="3" spans="1:2" x14ac:dyDescent="0.45">
      <c r="A3" s="1" t="s">
        <v>85</v>
      </c>
      <c r="B3" t="s">
        <v>84</v>
      </c>
    </row>
    <row r="4" spans="1:2" x14ac:dyDescent="0.45">
      <c r="A4" s="2" t="s">
        <v>47</v>
      </c>
      <c r="B4">
        <v>17</v>
      </c>
    </row>
    <row r="5" spans="1:2" x14ac:dyDescent="0.45">
      <c r="A5" s="2" t="s">
        <v>29</v>
      </c>
      <c r="B5">
        <v>15</v>
      </c>
    </row>
    <row r="6" spans="1:2" x14ac:dyDescent="0.45">
      <c r="A6" s="2" t="s">
        <v>54</v>
      </c>
      <c r="B6">
        <v>2</v>
      </c>
    </row>
    <row r="7" spans="1:2" x14ac:dyDescent="0.45">
      <c r="A7" s="2" t="s">
        <v>40</v>
      </c>
      <c r="B7">
        <v>1</v>
      </c>
    </row>
    <row r="8" spans="1:2" x14ac:dyDescent="0.45">
      <c r="A8" s="2" t="s">
        <v>69</v>
      </c>
      <c r="B8">
        <v>35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E81D-282F-4B89-9F0A-EB8F6670839B}">
  <dimension ref="A3:C7"/>
  <sheetViews>
    <sheetView workbookViewId="0">
      <selection activeCell="A3" sqref="A3:C7"/>
    </sheetView>
  </sheetViews>
  <sheetFormatPr defaultRowHeight="14.25" x14ac:dyDescent="0.45"/>
  <cols>
    <col min="1" max="1" width="19.796875" bestFit="1" customWidth="1"/>
    <col min="2" max="2" width="19.1328125" bestFit="1" customWidth="1"/>
    <col min="3" max="3" width="9.46484375" bestFit="1" customWidth="1"/>
  </cols>
  <sheetData>
    <row r="3" spans="1:3" x14ac:dyDescent="0.45">
      <c r="A3" s="1" t="s">
        <v>86</v>
      </c>
      <c r="B3" t="s">
        <v>80</v>
      </c>
      <c r="C3" t="s">
        <v>82</v>
      </c>
    </row>
    <row r="4" spans="1:3" x14ac:dyDescent="0.45">
      <c r="A4" s="2" t="s">
        <v>31</v>
      </c>
      <c r="B4">
        <v>27</v>
      </c>
      <c r="C4" s="6" cm="1">
        <f t="array" ref="C4:C7">B4:B7/35*100</f>
        <v>77.142857142857153</v>
      </c>
    </row>
    <row r="5" spans="1:3" x14ac:dyDescent="0.45">
      <c r="A5" s="2" t="s">
        <v>61</v>
      </c>
      <c r="B5">
        <v>5</v>
      </c>
      <c r="C5" s="6">
        <v>14.285714285714285</v>
      </c>
    </row>
    <row r="6" spans="1:3" x14ac:dyDescent="0.45">
      <c r="A6" s="2" t="s">
        <v>55</v>
      </c>
      <c r="B6">
        <v>3</v>
      </c>
      <c r="C6" s="6">
        <v>8.5714285714285712</v>
      </c>
    </row>
    <row r="7" spans="1:3" x14ac:dyDescent="0.45">
      <c r="A7" s="2" t="s">
        <v>69</v>
      </c>
      <c r="B7">
        <v>35</v>
      </c>
      <c r="C7">
        <v>100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91F9-A650-4F8E-B862-E5CD87626B33}">
  <dimension ref="A1:X36"/>
  <sheetViews>
    <sheetView topLeftCell="A5" zoomScale="59" zoomScaleNormal="40" workbookViewId="0">
      <selection activeCell="E47" sqref="E47"/>
    </sheetView>
  </sheetViews>
  <sheetFormatPr defaultRowHeight="14.25" x14ac:dyDescent="0.45"/>
  <cols>
    <col min="1" max="1" width="9.06640625" style="3"/>
    <col min="2" max="2" width="13.265625" style="3" bestFit="1" customWidth="1"/>
    <col min="3" max="3" width="27.53125" style="3" bestFit="1" customWidth="1"/>
    <col min="4" max="4" width="14.46484375" style="3" bestFit="1" customWidth="1"/>
    <col min="5" max="5" width="21.6640625" style="3" bestFit="1" customWidth="1"/>
    <col min="6" max="6" width="12.9296875" style="3" bestFit="1" customWidth="1"/>
    <col min="7" max="7" width="19.265625" style="3" bestFit="1" customWidth="1"/>
    <col min="8" max="8" width="22.3984375" style="3" bestFit="1" customWidth="1"/>
    <col min="9" max="9" width="13.3984375" style="3" bestFit="1" customWidth="1"/>
    <col min="10" max="10" width="14.265625" style="3" bestFit="1" customWidth="1"/>
    <col min="11" max="11" width="14.73046875" style="3" bestFit="1" customWidth="1"/>
    <col min="12" max="12" width="17.3984375" style="3" bestFit="1" customWidth="1"/>
    <col min="13" max="13" width="16.6640625" style="3" bestFit="1" customWidth="1"/>
    <col min="14" max="14" width="14.59765625" style="3" bestFit="1" customWidth="1"/>
    <col min="15" max="15" width="14.3984375" style="3" bestFit="1" customWidth="1"/>
    <col min="16" max="16" width="24.3984375" style="3" bestFit="1" customWidth="1"/>
    <col min="17" max="17" width="17.59765625" style="3" bestFit="1" customWidth="1"/>
    <col min="18" max="18" width="17.73046875" style="3" bestFit="1" customWidth="1"/>
    <col min="19" max="19" width="40.3984375" style="3" bestFit="1" customWidth="1"/>
    <col min="20" max="20" width="24.265625" style="3" bestFit="1" customWidth="1"/>
    <col min="21" max="21" width="24.9296875" style="3" bestFit="1" customWidth="1"/>
    <col min="22" max="22" width="19.59765625" style="3" bestFit="1" customWidth="1"/>
    <col min="23" max="23" width="16.59765625" style="3" bestFit="1" customWidth="1"/>
    <col min="24" max="24" width="22.3984375" style="3" bestFit="1" customWidth="1"/>
    <col min="25" max="16384" width="9.06640625" style="3"/>
  </cols>
  <sheetData>
    <row r="1" spans="1:24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x14ac:dyDescent="0.45">
      <c r="A2" s="3" t="s">
        <v>24</v>
      </c>
      <c r="B2" s="3">
        <v>34</v>
      </c>
      <c r="C2" s="3" t="s">
        <v>25</v>
      </c>
      <c r="D2" s="3">
        <v>1</v>
      </c>
      <c r="E2" s="3">
        <v>2</v>
      </c>
      <c r="F2" s="3">
        <v>5</v>
      </c>
      <c r="G2" s="3">
        <v>3</v>
      </c>
      <c r="H2" s="3">
        <v>7</v>
      </c>
      <c r="I2" s="3">
        <v>6</v>
      </c>
      <c r="J2" s="3">
        <v>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27</v>
      </c>
      <c r="U2" s="3" t="s">
        <v>34</v>
      </c>
      <c r="V2" s="3" t="s">
        <v>35</v>
      </c>
      <c r="W2" s="3" t="s">
        <v>36</v>
      </c>
      <c r="X2" s="3" t="s">
        <v>37</v>
      </c>
    </row>
    <row r="3" spans="1:24" x14ac:dyDescent="0.45">
      <c r="A3" s="3" t="s">
        <v>24</v>
      </c>
      <c r="B3" s="3">
        <v>23</v>
      </c>
      <c r="C3" s="3" t="s">
        <v>25</v>
      </c>
      <c r="D3" s="3">
        <v>4</v>
      </c>
      <c r="E3" s="3">
        <v>3</v>
      </c>
      <c r="F3" s="3">
        <v>2</v>
      </c>
      <c r="G3" s="3">
        <v>1</v>
      </c>
      <c r="H3" s="3">
        <v>5</v>
      </c>
      <c r="I3" s="3">
        <v>6</v>
      </c>
      <c r="J3" s="3">
        <v>7</v>
      </c>
      <c r="K3" s="3" t="s">
        <v>38</v>
      </c>
      <c r="L3" s="3" t="s">
        <v>39</v>
      </c>
      <c r="M3" s="3" t="s">
        <v>27</v>
      </c>
      <c r="N3" s="3" t="s">
        <v>28</v>
      </c>
      <c r="O3" s="3" t="s">
        <v>40</v>
      </c>
      <c r="P3" s="3" t="s">
        <v>41</v>
      </c>
      <c r="Q3" s="3" t="s">
        <v>31</v>
      </c>
      <c r="R3" s="3" t="s">
        <v>32</v>
      </c>
      <c r="S3" s="3" t="s">
        <v>42</v>
      </c>
      <c r="T3" s="3" t="s">
        <v>43</v>
      </c>
      <c r="U3" s="3" t="s">
        <v>34</v>
      </c>
      <c r="V3" s="3" t="s">
        <v>35</v>
      </c>
      <c r="W3" s="3" t="s">
        <v>44</v>
      </c>
      <c r="X3" s="3" t="s">
        <v>45</v>
      </c>
    </row>
    <row r="4" spans="1:24" x14ac:dyDescent="0.45">
      <c r="A4" s="3" t="s">
        <v>46</v>
      </c>
      <c r="B4" s="3">
        <v>30</v>
      </c>
      <c r="C4" s="3" t="s">
        <v>25</v>
      </c>
      <c r="D4" s="3">
        <v>3</v>
      </c>
      <c r="E4" s="3">
        <v>6</v>
      </c>
      <c r="F4" s="3">
        <v>4</v>
      </c>
      <c r="G4" s="3">
        <v>2</v>
      </c>
      <c r="H4" s="3">
        <v>5</v>
      </c>
      <c r="I4" s="3">
        <v>1</v>
      </c>
      <c r="J4" s="3">
        <v>7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47</v>
      </c>
      <c r="P4" s="3" t="s">
        <v>48</v>
      </c>
      <c r="Q4" s="3" t="s">
        <v>31</v>
      </c>
      <c r="R4" s="3" t="s">
        <v>49</v>
      </c>
      <c r="S4" s="3" t="s">
        <v>33</v>
      </c>
      <c r="T4" s="3" t="s">
        <v>27</v>
      </c>
      <c r="U4" s="3" t="s">
        <v>50</v>
      </c>
      <c r="V4" s="3" t="s">
        <v>51</v>
      </c>
      <c r="W4" s="3" t="s">
        <v>36</v>
      </c>
      <c r="X4" s="3" t="s">
        <v>52</v>
      </c>
    </row>
    <row r="5" spans="1:24" x14ac:dyDescent="0.45">
      <c r="A5" s="3" t="s">
        <v>24</v>
      </c>
      <c r="B5" s="3">
        <v>22</v>
      </c>
      <c r="C5" s="3" t="s">
        <v>25</v>
      </c>
      <c r="D5" s="3">
        <v>2</v>
      </c>
      <c r="E5" s="3">
        <v>1</v>
      </c>
      <c r="F5" s="3">
        <v>3</v>
      </c>
      <c r="G5" s="3">
        <v>7</v>
      </c>
      <c r="H5" s="3">
        <v>6</v>
      </c>
      <c r="I5" s="3">
        <v>4</v>
      </c>
      <c r="J5" s="3">
        <v>5</v>
      </c>
      <c r="K5" s="3" t="s">
        <v>25</v>
      </c>
      <c r="L5" s="3" t="s">
        <v>26</v>
      </c>
      <c r="M5" s="3" t="s">
        <v>53</v>
      </c>
      <c r="N5" s="3" t="s">
        <v>28</v>
      </c>
      <c r="O5" s="3" t="s">
        <v>54</v>
      </c>
      <c r="P5" s="3" t="s">
        <v>48</v>
      </c>
      <c r="Q5" s="3" t="s">
        <v>55</v>
      </c>
      <c r="R5" s="3" t="s">
        <v>49</v>
      </c>
      <c r="S5" s="3" t="s">
        <v>33</v>
      </c>
      <c r="T5" s="3" t="s">
        <v>43</v>
      </c>
      <c r="U5" s="3" t="s">
        <v>56</v>
      </c>
      <c r="V5" s="3" t="s">
        <v>57</v>
      </c>
      <c r="W5" s="3" t="s">
        <v>44</v>
      </c>
      <c r="X5" s="3" t="s">
        <v>58</v>
      </c>
    </row>
    <row r="6" spans="1:24" x14ac:dyDescent="0.45">
      <c r="A6" s="3" t="s">
        <v>24</v>
      </c>
      <c r="B6" s="3">
        <v>24</v>
      </c>
      <c r="C6" s="3" t="s">
        <v>38</v>
      </c>
      <c r="D6" s="3">
        <v>2</v>
      </c>
      <c r="E6" s="3">
        <v>1</v>
      </c>
      <c r="F6" s="3">
        <v>3</v>
      </c>
      <c r="G6" s="3">
        <v>6</v>
      </c>
      <c r="H6" s="3">
        <v>4</v>
      </c>
      <c r="I6" s="3">
        <v>5</v>
      </c>
      <c r="J6" s="3">
        <v>7</v>
      </c>
      <c r="K6" s="3" t="s">
        <v>38</v>
      </c>
      <c r="L6" s="3" t="s">
        <v>26</v>
      </c>
      <c r="M6" s="3" t="s">
        <v>53</v>
      </c>
      <c r="N6" s="3" t="s">
        <v>28</v>
      </c>
      <c r="O6" s="3" t="s">
        <v>54</v>
      </c>
      <c r="P6" s="3" t="s">
        <v>48</v>
      </c>
      <c r="Q6" s="3" t="s">
        <v>31</v>
      </c>
      <c r="R6" s="3" t="s">
        <v>49</v>
      </c>
      <c r="S6" s="3" t="s">
        <v>33</v>
      </c>
      <c r="T6" s="3" t="s">
        <v>27</v>
      </c>
      <c r="U6" s="3" t="s">
        <v>34</v>
      </c>
      <c r="V6" s="3" t="s">
        <v>35</v>
      </c>
      <c r="W6" s="3" t="s">
        <v>59</v>
      </c>
      <c r="X6" s="3" t="s">
        <v>58</v>
      </c>
    </row>
    <row r="7" spans="1:24" x14ac:dyDescent="0.45">
      <c r="A7" s="3" t="s">
        <v>46</v>
      </c>
      <c r="B7" s="3">
        <v>24</v>
      </c>
      <c r="C7" s="3" t="s">
        <v>38</v>
      </c>
      <c r="D7" s="3">
        <v>7</v>
      </c>
      <c r="E7" s="3">
        <v>5</v>
      </c>
      <c r="F7" s="3">
        <v>4</v>
      </c>
      <c r="G7" s="3">
        <v>6</v>
      </c>
      <c r="H7" s="3">
        <v>3</v>
      </c>
      <c r="I7" s="3">
        <v>1</v>
      </c>
      <c r="J7" s="3">
        <v>2</v>
      </c>
      <c r="K7" s="3" t="s">
        <v>38</v>
      </c>
      <c r="L7" s="3" t="s">
        <v>60</v>
      </c>
      <c r="M7" s="3" t="s">
        <v>27</v>
      </c>
      <c r="N7" s="3" t="s">
        <v>28</v>
      </c>
      <c r="O7" s="3" t="s">
        <v>29</v>
      </c>
      <c r="P7" s="3" t="s">
        <v>48</v>
      </c>
      <c r="Q7" s="3" t="s">
        <v>61</v>
      </c>
      <c r="R7" s="3" t="s">
        <v>32</v>
      </c>
      <c r="S7" s="3" t="s">
        <v>33</v>
      </c>
      <c r="T7" s="3" t="s">
        <v>62</v>
      </c>
      <c r="U7" s="3" t="s">
        <v>56</v>
      </c>
      <c r="V7" s="3" t="s">
        <v>35</v>
      </c>
      <c r="W7" s="3" t="s">
        <v>59</v>
      </c>
      <c r="X7" s="3" t="s">
        <v>58</v>
      </c>
    </row>
    <row r="8" spans="1:24" x14ac:dyDescent="0.45">
      <c r="A8" s="3" t="s">
        <v>24</v>
      </c>
      <c r="B8" s="3">
        <v>21</v>
      </c>
      <c r="C8" s="3" t="s">
        <v>25</v>
      </c>
      <c r="D8" s="3">
        <v>2</v>
      </c>
      <c r="E8" s="3">
        <v>3</v>
      </c>
      <c r="F8" s="3">
        <v>7</v>
      </c>
      <c r="G8" s="3">
        <v>4</v>
      </c>
      <c r="H8" s="3">
        <v>6</v>
      </c>
      <c r="I8" s="3">
        <v>1</v>
      </c>
      <c r="J8" s="3">
        <v>5</v>
      </c>
      <c r="K8" s="3" t="s">
        <v>25</v>
      </c>
      <c r="L8" s="3" t="s">
        <v>60</v>
      </c>
      <c r="M8" s="3" t="s">
        <v>27</v>
      </c>
      <c r="N8" s="3" t="s">
        <v>28</v>
      </c>
      <c r="O8" s="3" t="s">
        <v>47</v>
      </c>
      <c r="P8" s="3" t="s">
        <v>30</v>
      </c>
      <c r="Q8" s="3" t="s">
        <v>31</v>
      </c>
      <c r="R8" s="3" t="s">
        <v>32</v>
      </c>
      <c r="S8" s="3" t="s">
        <v>33</v>
      </c>
      <c r="T8" s="3" t="s">
        <v>27</v>
      </c>
      <c r="U8" s="3" t="s">
        <v>34</v>
      </c>
      <c r="V8" s="3" t="s">
        <v>51</v>
      </c>
      <c r="W8" s="3" t="s">
        <v>59</v>
      </c>
      <c r="X8" s="3" t="s">
        <v>37</v>
      </c>
    </row>
    <row r="9" spans="1:24" x14ac:dyDescent="0.45">
      <c r="A9" s="3" t="s">
        <v>24</v>
      </c>
      <c r="B9" s="3">
        <v>35</v>
      </c>
      <c r="C9" s="3" t="s">
        <v>25</v>
      </c>
      <c r="D9" s="3">
        <v>2</v>
      </c>
      <c r="E9" s="3">
        <v>4</v>
      </c>
      <c r="F9" s="3">
        <v>7</v>
      </c>
      <c r="G9" s="3">
        <v>5</v>
      </c>
      <c r="H9" s="3">
        <v>3</v>
      </c>
      <c r="I9" s="3">
        <v>1</v>
      </c>
      <c r="J9" s="3">
        <v>6</v>
      </c>
      <c r="K9" s="3" t="s">
        <v>25</v>
      </c>
      <c r="L9" s="3" t="s">
        <v>26</v>
      </c>
      <c r="M9" s="3" t="s">
        <v>63</v>
      </c>
      <c r="N9" s="3" t="s">
        <v>64</v>
      </c>
      <c r="O9" s="3" t="s">
        <v>29</v>
      </c>
      <c r="P9" s="3" t="s">
        <v>41</v>
      </c>
      <c r="Q9" s="3" t="s">
        <v>31</v>
      </c>
      <c r="R9" s="3" t="s">
        <v>49</v>
      </c>
      <c r="S9" s="3" t="s">
        <v>33</v>
      </c>
      <c r="T9" s="3" t="s">
        <v>27</v>
      </c>
      <c r="U9" s="3" t="s">
        <v>56</v>
      </c>
      <c r="V9" s="3" t="s">
        <v>35</v>
      </c>
      <c r="W9" s="3" t="s">
        <v>36</v>
      </c>
      <c r="X9" s="3" t="s">
        <v>52</v>
      </c>
    </row>
    <row r="10" spans="1:24" x14ac:dyDescent="0.45">
      <c r="A10" s="3" t="s">
        <v>46</v>
      </c>
      <c r="B10" s="3">
        <v>31</v>
      </c>
      <c r="C10" s="3" t="s">
        <v>25</v>
      </c>
      <c r="D10" s="3">
        <v>1</v>
      </c>
      <c r="E10" s="3">
        <v>3</v>
      </c>
      <c r="F10" s="3">
        <v>7</v>
      </c>
      <c r="G10" s="3">
        <v>4</v>
      </c>
      <c r="H10" s="3">
        <v>5</v>
      </c>
      <c r="I10" s="3">
        <v>2</v>
      </c>
      <c r="J10" s="3">
        <v>6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47</v>
      </c>
      <c r="P10" s="3" t="s">
        <v>30</v>
      </c>
      <c r="Q10" s="3" t="s">
        <v>61</v>
      </c>
      <c r="R10" s="3" t="s">
        <v>65</v>
      </c>
      <c r="S10" s="3" t="s">
        <v>33</v>
      </c>
      <c r="T10" s="3" t="s">
        <v>27</v>
      </c>
      <c r="U10" s="3" t="s">
        <v>56</v>
      </c>
      <c r="V10" s="3" t="s">
        <v>51</v>
      </c>
      <c r="W10" s="3" t="s">
        <v>36</v>
      </c>
      <c r="X10" s="3" t="s">
        <v>37</v>
      </c>
    </row>
    <row r="11" spans="1:24" x14ac:dyDescent="0.45">
      <c r="A11" s="3" t="s">
        <v>24</v>
      </c>
      <c r="B11" s="3">
        <v>35</v>
      </c>
      <c r="C11" s="3" t="s">
        <v>25</v>
      </c>
      <c r="D11" s="3">
        <v>2</v>
      </c>
      <c r="E11" s="3">
        <v>4</v>
      </c>
      <c r="F11" s="3">
        <v>7</v>
      </c>
      <c r="G11" s="3">
        <v>5</v>
      </c>
      <c r="H11" s="3">
        <v>3</v>
      </c>
      <c r="I11" s="3">
        <v>1</v>
      </c>
      <c r="J11" s="3">
        <v>6</v>
      </c>
      <c r="K11" s="3" t="s">
        <v>25</v>
      </c>
      <c r="L11" s="3" t="s">
        <v>60</v>
      </c>
      <c r="M11" s="3" t="s">
        <v>63</v>
      </c>
      <c r="N11" s="3" t="s">
        <v>64</v>
      </c>
      <c r="O11" s="3" t="s">
        <v>47</v>
      </c>
      <c r="P11" s="3" t="s">
        <v>30</v>
      </c>
      <c r="Q11" s="3" t="s">
        <v>31</v>
      </c>
      <c r="R11" s="3" t="s">
        <v>32</v>
      </c>
      <c r="S11" s="3" t="s">
        <v>33</v>
      </c>
      <c r="T11" s="3" t="s">
        <v>27</v>
      </c>
      <c r="U11" s="3" t="s">
        <v>34</v>
      </c>
      <c r="V11" s="3" t="s">
        <v>51</v>
      </c>
      <c r="W11" s="3" t="s">
        <v>59</v>
      </c>
      <c r="X11" s="3" t="s">
        <v>45</v>
      </c>
    </row>
    <row r="12" spans="1:24" x14ac:dyDescent="0.45">
      <c r="A12" s="3" t="s">
        <v>24</v>
      </c>
      <c r="B12" s="3">
        <v>29</v>
      </c>
      <c r="C12" s="3" t="s">
        <v>25</v>
      </c>
      <c r="D12" s="3">
        <v>2</v>
      </c>
      <c r="E12" s="3">
        <v>5</v>
      </c>
      <c r="F12" s="3">
        <v>7</v>
      </c>
      <c r="G12" s="3">
        <v>6</v>
      </c>
      <c r="H12" s="3">
        <v>3</v>
      </c>
      <c r="I12" s="3">
        <v>1</v>
      </c>
      <c r="J12" s="3">
        <v>4</v>
      </c>
      <c r="K12" s="3" t="s">
        <v>25</v>
      </c>
      <c r="L12" s="3" t="s">
        <v>60</v>
      </c>
      <c r="M12" s="3" t="s">
        <v>27</v>
      </c>
      <c r="N12" s="3" t="s">
        <v>28</v>
      </c>
      <c r="O12" s="3" t="s">
        <v>29</v>
      </c>
      <c r="P12" s="3" t="s">
        <v>30</v>
      </c>
      <c r="Q12" s="3" t="s">
        <v>31</v>
      </c>
      <c r="R12" s="3" t="s">
        <v>32</v>
      </c>
      <c r="S12" s="3" t="s">
        <v>33</v>
      </c>
      <c r="T12" s="3" t="s">
        <v>27</v>
      </c>
      <c r="U12" s="3" t="s">
        <v>56</v>
      </c>
      <c r="V12" s="3" t="s">
        <v>51</v>
      </c>
      <c r="W12" s="3" t="s">
        <v>36</v>
      </c>
      <c r="X12" s="3" t="s">
        <v>45</v>
      </c>
    </row>
    <row r="13" spans="1:24" x14ac:dyDescent="0.45">
      <c r="A13" s="3" t="s">
        <v>46</v>
      </c>
      <c r="B13" s="3">
        <v>21</v>
      </c>
      <c r="C13" s="3" t="s">
        <v>38</v>
      </c>
      <c r="D13" s="3">
        <v>1</v>
      </c>
      <c r="E13" s="3">
        <v>2</v>
      </c>
      <c r="F13" s="3">
        <v>3</v>
      </c>
      <c r="G13" s="3">
        <v>4</v>
      </c>
      <c r="H13" s="3">
        <v>5</v>
      </c>
      <c r="I13" s="3">
        <v>6</v>
      </c>
      <c r="J13" s="3">
        <v>7</v>
      </c>
      <c r="K13" s="3" t="s">
        <v>38</v>
      </c>
      <c r="L13" s="3" t="s">
        <v>26</v>
      </c>
      <c r="M13" s="3" t="s">
        <v>27</v>
      </c>
      <c r="N13" s="3" t="s">
        <v>64</v>
      </c>
      <c r="O13" s="3" t="s">
        <v>29</v>
      </c>
      <c r="P13" s="3" t="s">
        <v>41</v>
      </c>
      <c r="Q13" s="3" t="s">
        <v>31</v>
      </c>
      <c r="R13" s="3" t="s">
        <v>32</v>
      </c>
      <c r="S13" s="3" t="s">
        <v>66</v>
      </c>
      <c r="T13" s="3" t="s">
        <v>43</v>
      </c>
      <c r="U13" s="3" t="s">
        <v>34</v>
      </c>
      <c r="V13" s="3" t="s">
        <v>35</v>
      </c>
      <c r="W13" s="3" t="s">
        <v>59</v>
      </c>
      <c r="X13" s="3" t="s">
        <v>58</v>
      </c>
    </row>
    <row r="14" spans="1:24" x14ac:dyDescent="0.45">
      <c r="A14" s="3" t="s">
        <v>24</v>
      </c>
      <c r="B14" s="3">
        <v>25</v>
      </c>
      <c r="C14" s="3" t="s">
        <v>25</v>
      </c>
      <c r="D14" s="3">
        <v>2</v>
      </c>
      <c r="E14" s="3">
        <v>3</v>
      </c>
      <c r="F14" s="3">
        <v>7</v>
      </c>
      <c r="G14" s="3">
        <v>5</v>
      </c>
      <c r="H14" s="3">
        <v>4</v>
      </c>
      <c r="I14" s="3">
        <v>1</v>
      </c>
      <c r="J14" s="3">
        <v>6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30</v>
      </c>
      <c r="Q14" s="3" t="s">
        <v>31</v>
      </c>
      <c r="R14" s="3" t="s">
        <v>65</v>
      </c>
      <c r="S14" s="3" t="s">
        <v>42</v>
      </c>
      <c r="T14" s="3" t="s">
        <v>43</v>
      </c>
      <c r="U14" s="3" t="s">
        <v>34</v>
      </c>
      <c r="V14" s="3" t="s">
        <v>51</v>
      </c>
      <c r="W14" s="3" t="s">
        <v>59</v>
      </c>
      <c r="X14" s="3" t="s">
        <v>45</v>
      </c>
    </row>
    <row r="15" spans="1:24" x14ac:dyDescent="0.45">
      <c r="A15" s="3" t="s">
        <v>24</v>
      </c>
      <c r="B15" s="3">
        <v>27</v>
      </c>
      <c r="C15" s="3" t="s">
        <v>25</v>
      </c>
      <c r="D15" s="3">
        <v>2</v>
      </c>
      <c r="E15" s="3">
        <v>3</v>
      </c>
      <c r="F15" s="3">
        <v>7</v>
      </c>
      <c r="G15" s="3">
        <v>5</v>
      </c>
      <c r="H15" s="3">
        <v>4</v>
      </c>
      <c r="I15" s="3">
        <v>1</v>
      </c>
      <c r="J15" s="3">
        <v>6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">
        <v>42</v>
      </c>
      <c r="T15" s="3" t="s">
        <v>27</v>
      </c>
      <c r="U15" s="3" t="s">
        <v>56</v>
      </c>
      <c r="V15" s="3" t="s">
        <v>51</v>
      </c>
      <c r="W15" s="3" t="s">
        <v>59</v>
      </c>
      <c r="X15" s="3" t="s">
        <v>37</v>
      </c>
    </row>
    <row r="16" spans="1:24" x14ac:dyDescent="0.45">
      <c r="A16" s="3" t="s">
        <v>46</v>
      </c>
      <c r="B16" s="3">
        <v>28</v>
      </c>
      <c r="C16" s="3" t="s">
        <v>25</v>
      </c>
      <c r="D16" s="3">
        <v>3</v>
      </c>
      <c r="E16" s="3">
        <v>2</v>
      </c>
      <c r="F16" s="3">
        <v>7</v>
      </c>
      <c r="G16" s="3">
        <v>5</v>
      </c>
      <c r="H16" s="3">
        <v>4</v>
      </c>
      <c r="I16" s="3">
        <v>1</v>
      </c>
      <c r="J16" s="3">
        <v>6</v>
      </c>
      <c r="K16" s="3" t="s">
        <v>25</v>
      </c>
      <c r="L16" s="3" t="s">
        <v>60</v>
      </c>
      <c r="M16" s="3" t="s">
        <v>63</v>
      </c>
      <c r="N16" s="3" t="s">
        <v>28</v>
      </c>
      <c r="O16" s="3" t="s">
        <v>29</v>
      </c>
      <c r="P16" s="3" t="s">
        <v>30</v>
      </c>
      <c r="Q16" s="3" t="s">
        <v>31</v>
      </c>
      <c r="R16" s="3" t="s">
        <v>65</v>
      </c>
      <c r="S16" s="3" t="s">
        <v>42</v>
      </c>
      <c r="T16" s="3" t="s">
        <v>27</v>
      </c>
      <c r="U16" s="3" t="s">
        <v>56</v>
      </c>
      <c r="V16" s="3" t="s">
        <v>51</v>
      </c>
      <c r="W16" s="3" t="s">
        <v>59</v>
      </c>
      <c r="X16" s="3" t="s">
        <v>52</v>
      </c>
    </row>
    <row r="17" spans="1:24" x14ac:dyDescent="0.45">
      <c r="A17" s="3" t="s">
        <v>24</v>
      </c>
      <c r="B17" s="3">
        <v>27</v>
      </c>
      <c r="C17" s="3" t="s">
        <v>25</v>
      </c>
      <c r="D17" s="3">
        <v>3</v>
      </c>
      <c r="E17" s="3">
        <v>2</v>
      </c>
      <c r="F17" s="3">
        <v>7</v>
      </c>
      <c r="G17" s="3">
        <v>4</v>
      </c>
      <c r="H17" s="3">
        <v>5</v>
      </c>
      <c r="I17" s="3">
        <v>1</v>
      </c>
      <c r="J17" s="3">
        <v>6</v>
      </c>
      <c r="K17" s="3" t="s">
        <v>25</v>
      </c>
      <c r="L17" s="3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3" t="s">
        <v>31</v>
      </c>
      <c r="R17" s="3" t="s">
        <v>32</v>
      </c>
      <c r="S17" s="3" t="s">
        <v>33</v>
      </c>
      <c r="T17" s="3" t="s">
        <v>27</v>
      </c>
      <c r="U17" s="3" t="s">
        <v>34</v>
      </c>
      <c r="V17" s="3" t="s">
        <v>51</v>
      </c>
      <c r="W17" s="3" t="s">
        <v>59</v>
      </c>
      <c r="X17" s="3" t="s">
        <v>45</v>
      </c>
    </row>
    <row r="18" spans="1:24" x14ac:dyDescent="0.45">
      <c r="A18" s="3" t="s">
        <v>24</v>
      </c>
      <c r="B18" s="3">
        <v>29</v>
      </c>
      <c r="C18" s="3" t="s">
        <v>25</v>
      </c>
      <c r="D18" s="3">
        <v>3</v>
      </c>
      <c r="E18" s="3">
        <v>2</v>
      </c>
      <c r="F18" s="3">
        <v>7</v>
      </c>
      <c r="G18" s="3">
        <v>4</v>
      </c>
      <c r="H18" s="3">
        <v>5</v>
      </c>
      <c r="I18" s="3">
        <v>1</v>
      </c>
      <c r="J18" s="3">
        <v>6</v>
      </c>
      <c r="K18" s="3" t="s">
        <v>25</v>
      </c>
      <c r="L18" s="3" t="s">
        <v>60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">
        <v>33</v>
      </c>
      <c r="T18" s="3" t="s">
        <v>27</v>
      </c>
      <c r="U18" s="3" t="s">
        <v>34</v>
      </c>
      <c r="V18" s="3" t="s">
        <v>51</v>
      </c>
      <c r="W18" s="3" t="s">
        <v>59</v>
      </c>
      <c r="X18" s="3" t="s">
        <v>37</v>
      </c>
    </row>
    <row r="19" spans="1:24" x14ac:dyDescent="0.45">
      <c r="A19" s="3" t="s">
        <v>46</v>
      </c>
      <c r="B19" s="3">
        <v>26</v>
      </c>
      <c r="C19" s="3" t="s">
        <v>25</v>
      </c>
      <c r="D19" s="3">
        <v>3</v>
      </c>
      <c r="E19" s="3">
        <v>4</v>
      </c>
      <c r="F19" s="3">
        <v>6</v>
      </c>
      <c r="G19" s="3">
        <v>5</v>
      </c>
      <c r="H19" s="3">
        <v>1</v>
      </c>
      <c r="I19" s="3">
        <v>2</v>
      </c>
      <c r="J19" s="3">
        <v>7</v>
      </c>
      <c r="K19" s="3" t="s">
        <v>25</v>
      </c>
      <c r="L19" s="3" t="s">
        <v>60</v>
      </c>
      <c r="M19" s="3" t="s">
        <v>27</v>
      </c>
      <c r="N19" s="3" t="s">
        <v>28</v>
      </c>
      <c r="O19" s="3" t="s">
        <v>47</v>
      </c>
      <c r="P19" s="3" t="s">
        <v>30</v>
      </c>
      <c r="Q19" s="3" t="s">
        <v>31</v>
      </c>
      <c r="R19" s="3" t="s">
        <v>65</v>
      </c>
      <c r="S19" s="3" t="s">
        <v>42</v>
      </c>
      <c r="T19" s="3" t="s">
        <v>27</v>
      </c>
      <c r="U19" s="3" t="s">
        <v>56</v>
      </c>
      <c r="V19" s="3" t="s">
        <v>51</v>
      </c>
      <c r="W19" s="3" t="s">
        <v>59</v>
      </c>
      <c r="X19" s="3" t="s">
        <v>37</v>
      </c>
    </row>
    <row r="20" spans="1:24" x14ac:dyDescent="0.45">
      <c r="A20" s="3" t="s">
        <v>24</v>
      </c>
      <c r="B20" s="3">
        <v>24</v>
      </c>
      <c r="C20" s="3" t="s">
        <v>25</v>
      </c>
      <c r="D20" s="3">
        <v>2</v>
      </c>
      <c r="E20" s="3">
        <v>4</v>
      </c>
      <c r="F20" s="3">
        <v>5</v>
      </c>
      <c r="G20" s="3">
        <v>6</v>
      </c>
      <c r="H20" s="3">
        <v>3</v>
      </c>
      <c r="I20" s="3">
        <v>1</v>
      </c>
      <c r="J20" s="3">
        <v>7</v>
      </c>
      <c r="K20" s="3" t="s">
        <v>25</v>
      </c>
      <c r="L20" s="3" t="s">
        <v>60</v>
      </c>
      <c r="M20" s="3" t="s">
        <v>27</v>
      </c>
      <c r="N20" s="3" t="s">
        <v>28</v>
      </c>
      <c r="O20" s="3" t="s">
        <v>47</v>
      </c>
      <c r="P20" s="3" t="s">
        <v>30</v>
      </c>
      <c r="Q20" s="3" t="s">
        <v>31</v>
      </c>
      <c r="R20" s="3" t="s">
        <v>49</v>
      </c>
      <c r="S20" s="3" t="s">
        <v>42</v>
      </c>
      <c r="T20" s="3" t="s">
        <v>27</v>
      </c>
      <c r="U20" s="3" t="s">
        <v>34</v>
      </c>
      <c r="V20" s="3" t="s">
        <v>51</v>
      </c>
      <c r="W20" s="3" t="s">
        <v>59</v>
      </c>
      <c r="X20" s="3" t="s">
        <v>37</v>
      </c>
    </row>
    <row r="21" spans="1:24" x14ac:dyDescent="0.45">
      <c r="A21" s="3" t="s">
        <v>24</v>
      </c>
      <c r="B21" s="3">
        <v>27</v>
      </c>
      <c r="C21" s="3" t="s">
        <v>25</v>
      </c>
      <c r="D21" s="3">
        <v>3</v>
      </c>
      <c r="E21" s="3">
        <v>4</v>
      </c>
      <c r="F21" s="3">
        <v>6</v>
      </c>
      <c r="G21" s="3">
        <v>5</v>
      </c>
      <c r="H21" s="3">
        <v>2</v>
      </c>
      <c r="I21" s="3">
        <v>1</v>
      </c>
      <c r="J21" s="3">
        <v>7</v>
      </c>
      <c r="K21" s="3" t="s">
        <v>25</v>
      </c>
      <c r="L21" s="3" t="s">
        <v>26</v>
      </c>
      <c r="M21" s="3" t="s">
        <v>27</v>
      </c>
      <c r="N21" s="3" t="s">
        <v>28</v>
      </c>
      <c r="O21" s="3" t="s">
        <v>47</v>
      </c>
      <c r="P21" s="3" t="s">
        <v>30</v>
      </c>
      <c r="Q21" s="3" t="s">
        <v>31</v>
      </c>
      <c r="R21" s="3" t="s">
        <v>32</v>
      </c>
      <c r="S21" s="3" t="s">
        <v>33</v>
      </c>
      <c r="T21" s="3" t="s">
        <v>27</v>
      </c>
      <c r="U21" s="3" t="s">
        <v>34</v>
      </c>
      <c r="V21" s="3" t="s">
        <v>51</v>
      </c>
      <c r="W21" s="3" t="s">
        <v>59</v>
      </c>
      <c r="X21" s="3" t="s">
        <v>45</v>
      </c>
    </row>
    <row r="22" spans="1:24" x14ac:dyDescent="0.45">
      <c r="A22" s="3" t="s">
        <v>46</v>
      </c>
      <c r="B22" s="3">
        <v>25</v>
      </c>
      <c r="C22" s="3" t="s">
        <v>25</v>
      </c>
      <c r="D22" s="3">
        <v>2</v>
      </c>
      <c r="E22" s="3">
        <v>4</v>
      </c>
      <c r="F22" s="3">
        <v>6</v>
      </c>
      <c r="G22" s="3">
        <v>5</v>
      </c>
      <c r="H22" s="3">
        <v>3</v>
      </c>
      <c r="I22" s="3">
        <v>1</v>
      </c>
      <c r="J22" s="3">
        <v>7</v>
      </c>
      <c r="K22" s="3" t="s">
        <v>25</v>
      </c>
      <c r="L22" s="3" t="s">
        <v>60</v>
      </c>
      <c r="M22" s="3" t="s">
        <v>63</v>
      </c>
      <c r="N22" s="3" t="s">
        <v>64</v>
      </c>
      <c r="O22" s="3" t="s">
        <v>47</v>
      </c>
      <c r="P22" s="3" t="s">
        <v>41</v>
      </c>
      <c r="Q22" s="3" t="s">
        <v>31</v>
      </c>
      <c r="R22" s="3" t="s">
        <v>67</v>
      </c>
      <c r="S22" s="3" t="s">
        <v>42</v>
      </c>
      <c r="T22" s="3" t="s">
        <v>62</v>
      </c>
      <c r="U22" s="3" t="s">
        <v>34</v>
      </c>
      <c r="V22" s="3" t="s">
        <v>51</v>
      </c>
      <c r="W22" s="3" t="s">
        <v>59</v>
      </c>
      <c r="X22" s="3" t="s">
        <v>45</v>
      </c>
    </row>
    <row r="23" spans="1:24" x14ac:dyDescent="0.45">
      <c r="A23" s="3" t="s">
        <v>24</v>
      </c>
      <c r="B23" s="3">
        <v>26</v>
      </c>
      <c r="C23" s="3" t="s">
        <v>25</v>
      </c>
      <c r="D23" s="3">
        <v>2</v>
      </c>
      <c r="E23" s="3">
        <v>3</v>
      </c>
      <c r="F23" s="3">
        <v>7</v>
      </c>
      <c r="G23" s="3">
        <v>5</v>
      </c>
      <c r="H23" s="3">
        <v>4</v>
      </c>
      <c r="I23" s="3">
        <v>1</v>
      </c>
      <c r="J23" s="3">
        <v>6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47</v>
      </c>
      <c r="P23" s="3" t="s">
        <v>30</v>
      </c>
      <c r="Q23" s="3" t="s">
        <v>61</v>
      </c>
      <c r="R23" s="3" t="s">
        <v>67</v>
      </c>
      <c r="S23" s="3" t="s">
        <v>33</v>
      </c>
      <c r="T23" s="3" t="s">
        <v>27</v>
      </c>
      <c r="U23" s="3" t="s">
        <v>34</v>
      </c>
      <c r="V23" s="3" t="s">
        <v>51</v>
      </c>
      <c r="W23" s="3" t="s">
        <v>59</v>
      </c>
      <c r="X23" s="3" t="s">
        <v>37</v>
      </c>
    </row>
    <row r="24" spans="1:24" x14ac:dyDescent="0.45">
      <c r="A24" s="3" t="s">
        <v>24</v>
      </c>
      <c r="B24" s="3">
        <v>32</v>
      </c>
      <c r="C24" s="3" t="s">
        <v>25</v>
      </c>
      <c r="D24" s="3">
        <v>3</v>
      </c>
      <c r="E24" s="3">
        <v>4</v>
      </c>
      <c r="F24" s="3">
        <v>7</v>
      </c>
      <c r="G24" s="3">
        <v>5</v>
      </c>
      <c r="H24" s="3">
        <v>1</v>
      </c>
      <c r="I24" s="3">
        <v>2</v>
      </c>
      <c r="J24" s="3">
        <v>6</v>
      </c>
      <c r="K24" s="3" t="s">
        <v>25</v>
      </c>
      <c r="L24" s="3" t="s">
        <v>60</v>
      </c>
      <c r="M24" s="3" t="s">
        <v>63</v>
      </c>
      <c r="N24" s="3" t="s">
        <v>28</v>
      </c>
      <c r="O24" s="3" t="s">
        <v>47</v>
      </c>
      <c r="P24" s="3" t="s">
        <v>30</v>
      </c>
      <c r="Q24" s="3" t="s">
        <v>31</v>
      </c>
      <c r="R24" s="3" t="s">
        <v>32</v>
      </c>
      <c r="S24" s="3" t="s">
        <v>33</v>
      </c>
      <c r="T24" s="3" t="s">
        <v>27</v>
      </c>
      <c r="U24" s="3" t="s">
        <v>34</v>
      </c>
      <c r="V24" s="3" t="s">
        <v>51</v>
      </c>
      <c r="W24" s="3" t="s">
        <v>36</v>
      </c>
      <c r="X24" s="3" t="s">
        <v>45</v>
      </c>
    </row>
    <row r="25" spans="1:24" x14ac:dyDescent="0.45">
      <c r="A25" s="3" t="s">
        <v>46</v>
      </c>
      <c r="B25" s="3">
        <v>26</v>
      </c>
      <c r="C25" s="3" t="s">
        <v>25</v>
      </c>
      <c r="D25" s="3">
        <v>3</v>
      </c>
      <c r="E25" s="3">
        <v>4</v>
      </c>
      <c r="F25" s="3">
        <v>6</v>
      </c>
      <c r="G25" s="3">
        <v>5</v>
      </c>
      <c r="H25" s="3">
        <v>1</v>
      </c>
      <c r="I25" s="3">
        <v>2</v>
      </c>
      <c r="J25" s="3">
        <v>7</v>
      </c>
      <c r="K25" s="3" t="s">
        <v>25</v>
      </c>
      <c r="L25" s="3" t="s">
        <v>26</v>
      </c>
      <c r="M25" s="3" t="s">
        <v>27</v>
      </c>
      <c r="N25" s="3" t="s">
        <v>28</v>
      </c>
      <c r="O25" s="3" t="s">
        <v>47</v>
      </c>
      <c r="P25" s="3" t="s">
        <v>30</v>
      </c>
      <c r="Q25" s="3" t="s">
        <v>31</v>
      </c>
      <c r="R25" s="3" t="s">
        <v>32</v>
      </c>
      <c r="S25" s="3" t="s">
        <v>33</v>
      </c>
      <c r="T25" s="3" t="s">
        <v>43</v>
      </c>
      <c r="U25" s="3" t="s">
        <v>56</v>
      </c>
      <c r="V25" s="3" t="s">
        <v>51</v>
      </c>
      <c r="W25" s="3" t="s">
        <v>36</v>
      </c>
      <c r="X25" s="3" t="s">
        <v>45</v>
      </c>
    </row>
    <row r="26" spans="1:24" x14ac:dyDescent="0.45">
      <c r="A26" s="3" t="s">
        <v>24</v>
      </c>
      <c r="B26" s="3">
        <v>29</v>
      </c>
      <c r="C26" s="3" t="s">
        <v>25</v>
      </c>
      <c r="D26" s="3">
        <v>2</v>
      </c>
      <c r="E26" s="3">
        <v>3</v>
      </c>
      <c r="F26" s="3">
        <v>6</v>
      </c>
      <c r="G26" s="3">
        <v>5</v>
      </c>
      <c r="H26" s="3">
        <v>1</v>
      </c>
      <c r="I26" s="3">
        <v>4</v>
      </c>
      <c r="J26" s="3">
        <v>7</v>
      </c>
      <c r="K26" s="3" t="s">
        <v>25</v>
      </c>
      <c r="L26" s="3" t="s">
        <v>26</v>
      </c>
      <c r="M26" s="3" t="s">
        <v>27</v>
      </c>
      <c r="N26" s="3" t="s">
        <v>28</v>
      </c>
      <c r="O26" s="3" t="s">
        <v>29</v>
      </c>
      <c r="P26" s="3" t="s">
        <v>30</v>
      </c>
      <c r="Q26" s="3" t="s">
        <v>31</v>
      </c>
      <c r="R26" s="3" t="s">
        <v>49</v>
      </c>
      <c r="S26" s="3" t="s">
        <v>33</v>
      </c>
      <c r="T26" s="3" t="s">
        <v>27</v>
      </c>
      <c r="U26" s="3" t="s">
        <v>34</v>
      </c>
      <c r="V26" s="3" t="s">
        <v>51</v>
      </c>
      <c r="W26" s="3" t="s">
        <v>59</v>
      </c>
      <c r="X26" s="3" t="s">
        <v>52</v>
      </c>
    </row>
    <row r="27" spans="1:24" x14ac:dyDescent="0.45">
      <c r="A27" s="3" t="s">
        <v>24</v>
      </c>
      <c r="B27" s="3">
        <v>34</v>
      </c>
      <c r="C27" s="3" t="s">
        <v>25</v>
      </c>
      <c r="D27" s="3">
        <v>5</v>
      </c>
      <c r="E27" s="3">
        <v>4</v>
      </c>
      <c r="F27" s="3">
        <v>3</v>
      </c>
      <c r="G27" s="3">
        <v>2</v>
      </c>
      <c r="H27" s="3">
        <v>7</v>
      </c>
      <c r="I27" s="3">
        <v>1</v>
      </c>
      <c r="J27" s="3">
        <v>6</v>
      </c>
      <c r="K27" s="3" t="s">
        <v>25</v>
      </c>
      <c r="L27" s="3" t="s">
        <v>26</v>
      </c>
      <c r="M27" s="3" t="s">
        <v>53</v>
      </c>
      <c r="N27" s="3" t="s">
        <v>26</v>
      </c>
      <c r="O27" s="3" t="s">
        <v>47</v>
      </c>
      <c r="P27" s="3" t="s">
        <v>30</v>
      </c>
      <c r="Q27" s="3" t="s">
        <v>55</v>
      </c>
      <c r="R27" s="3" t="s">
        <v>32</v>
      </c>
      <c r="S27" s="3" t="s">
        <v>33</v>
      </c>
      <c r="T27" s="3" t="s">
        <v>27</v>
      </c>
      <c r="U27" s="3" t="s">
        <v>50</v>
      </c>
      <c r="V27" s="3" t="s">
        <v>35</v>
      </c>
      <c r="W27" s="3" t="s">
        <v>36</v>
      </c>
      <c r="X27" s="3" t="s">
        <v>37</v>
      </c>
    </row>
    <row r="28" spans="1:24" x14ac:dyDescent="0.45">
      <c r="A28" s="3" t="s">
        <v>46</v>
      </c>
      <c r="B28" s="3">
        <v>27</v>
      </c>
      <c r="C28" s="3" t="s">
        <v>25</v>
      </c>
      <c r="D28" s="3">
        <v>4</v>
      </c>
      <c r="E28" s="3">
        <v>5</v>
      </c>
      <c r="F28" s="3">
        <v>1</v>
      </c>
      <c r="G28" s="3">
        <v>2</v>
      </c>
      <c r="H28" s="3">
        <v>7</v>
      </c>
      <c r="I28" s="3">
        <v>3</v>
      </c>
      <c r="J28" s="3">
        <v>6</v>
      </c>
      <c r="K28" s="3" t="s">
        <v>38</v>
      </c>
      <c r="L28" s="3" t="s">
        <v>26</v>
      </c>
      <c r="M28" s="3" t="s">
        <v>63</v>
      </c>
      <c r="N28" s="3" t="s">
        <v>28</v>
      </c>
      <c r="O28" s="3" t="s">
        <v>29</v>
      </c>
      <c r="P28" s="3" t="s">
        <v>30</v>
      </c>
      <c r="Q28" s="3" t="s">
        <v>55</v>
      </c>
      <c r="R28" s="3" t="s">
        <v>32</v>
      </c>
      <c r="S28" s="3" t="s">
        <v>66</v>
      </c>
      <c r="T28" s="3" t="s">
        <v>27</v>
      </c>
      <c r="U28" s="3" t="s">
        <v>50</v>
      </c>
      <c r="V28" s="3" t="s">
        <v>35</v>
      </c>
      <c r="W28" s="3" t="s">
        <v>36</v>
      </c>
      <c r="X28" s="3" t="s">
        <v>52</v>
      </c>
    </row>
    <row r="29" spans="1:24" x14ac:dyDescent="0.45">
      <c r="A29" s="3" t="s">
        <v>24</v>
      </c>
      <c r="B29" s="3">
        <v>31</v>
      </c>
      <c r="C29" s="3" t="s">
        <v>25</v>
      </c>
      <c r="D29" s="3">
        <v>2</v>
      </c>
      <c r="E29" s="3">
        <v>4</v>
      </c>
      <c r="F29" s="3">
        <v>7</v>
      </c>
      <c r="G29" s="3">
        <v>6</v>
      </c>
      <c r="H29" s="3">
        <v>3</v>
      </c>
      <c r="I29" s="3">
        <v>1</v>
      </c>
      <c r="J29" s="3">
        <v>5</v>
      </c>
      <c r="K29" s="3" t="s">
        <v>25</v>
      </c>
      <c r="L29" s="3" t="s">
        <v>26</v>
      </c>
      <c r="M29" s="3" t="s">
        <v>27</v>
      </c>
      <c r="N29" s="3" t="s">
        <v>28</v>
      </c>
      <c r="O29" s="3" t="s">
        <v>47</v>
      </c>
      <c r="P29" s="3" t="s">
        <v>30</v>
      </c>
      <c r="Q29" s="3" t="s">
        <v>31</v>
      </c>
      <c r="R29" s="3" t="s">
        <v>65</v>
      </c>
      <c r="S29" s="3" t="s">
        <v>33</v>
      </c>
      <c r="T29" s="3" t="s">
        <v>27</v>
      </c>
      <c r="U29" s="3" t="s">
        <v>34</v>
      </c>
      <c r="V29" s="3" t="s">
        <v>51</v>
      </c>
      <c r="W29" s="3" t="s">
        <v>36</v>
      </c>
      <c r="X29" s="3" t="s">
        <v>45</v>
      </c>
    </row>
    <row r="30" spans="1:24" x14ac:dyDescent="0.45">
      <c r="A30" s="3" t="s">
        <v>24</v>
      </c>
      <c r="B30" s="3">
        <v>27</v>
      </c>
      <c r="C30" s="3" t="s">
        <v>25</v>
      </c>
      <c r="D30" s="3">
        <v>2</v>
      </c>
      <c r="E30" s="3">
        <v>4</v>
      </c>
      <c r="F30" s="3">
        <v>7</v>
      </c>
      <c r="G30" s="3">
        <v>5</v>
      </c>
      <c r="H30" s="3">
        <v>1</v>
      </c>
      <c r="I30" s="3">
        <v>3</v>
      </c>
      <c r="J30" s="3">
        <v>6</v>
      </c>
      <c r="K30" s="3" t="s">
        <v>25</v>
      </c>
      <c r="L30" s="3" t="s">
        <v>26</v>
      </c>
      <c r="M30" s="3" t="s">
        <v>27</v>
      </c>
      <c r="N30" s="3" t="s">
        <v>28</v>
      </c>
      <c r="O30" s="3" t="s">
        <v>47</v>
      </c>
      <c r="P30" s="3" t="s">
        <v>30</v>
      </c>
      <c r="Q30" s="3" t="s">
        <v>61</v>
      </c>
      <c r="R30" s="3" t="s">
        <v>49</v>
      </c>
      <c r="S30" s="3" t="s">
        <v>42</v>
      </c>
      <c r="T30" s="3" t="s">
        <v>27</v>
      </c>
      <c r="U30" s="3" t="s">
        <v>56</v>
      </c>
      <c r="V30" s="3" t="s">
        <v>51</v>
      </c>
      <c r="W30" s="3" t="s">
        <v>36</v>
      </c>
      <c r="X30" s="3" t="s">
        <v>37</v>
      </c>
    </row>
    <row r="31" spans="1:24" x14ac:dyDescent="0.45">
      <c r="A31" s="3" t="s">
        <v>46</v>
      </c>
      <c r="B31" s="3">
        <v>26</v>
      </c>
      <c r="C31" s="3" t="s">
        <v>25</v>
      </c>
      <c r="D31" s="3">
        <v>2</v>
      </c>
      <c r="E31" s="3">
        <v>3</v>
      </c>
      <c r="F31" s="3">
        <v>6</v>
      </c>
      <c r="G31" s="3">
        <v>4</v>
      </c>
      <c r="H31" s="3">
        <v>1</v>
      </c>
      <c r="I31" s="3">
        <v>5</v>
      </c>
      <c r="J31" s="3">
        <v>7</v>
      </c>
      <c r="K31" s="3" t="s">
        <v>25</v>
      </c>
      <c r="L31" s="3" t="s">
        <v>26</v>
      </c>
      <c r="M31" s="3" t="s">
        <v>27</v>
      </c>
      <c r="N31" s="3" t="s">
        <v>26</v>
      </c>
      <c r="O31" s="3" t="s">
        <v>29</v>
      </c>
      <c r="P31" s="3" t="s">
        <v>30</v>
      </c>
      <c r="Q31" s="3" t="s">
        <v>31</v>
      </c>
      <c r="R31" s="3" t="s">
        <v>65</v>
      </c>
      <c r="S31" s="3" t="s">
        <v>66</v>
      </c>
      <c r="T31" s="3" t="s">
        <v>43</v>
      </c>
      <c r="U31" s="3" t="s">
        <v>34</v>
      </c>
      <c r="V31" s="3" t="s">
        <v>35</v>
      </c>
      <c r="W31" s="3" t="s">
        <v>59</v>
      </c>
      <c r="X31" s="3" t="s">
        <v>37</v>
      </c>
    </row>
    <row r="32" spans="1:24" x14ac:dyDescent="0.45">
      <c r="A32" s="3" t="s">
        <v>24</v>
      </c>
      <c r="B32" s="3">
        <v>30</v>
      </c>
      <c r="C32" s="3" t="s">
        <v>25</v>
      </c>
      <c r="D32" s="3">
        <v>1</v>
      </c>
      <c r="E32" s="3">
        <v>4</v>
      </c>
      <c r="F32" s="3">
        <v>6</v>
      </c>
      <c r="G32" s="3">
        <v>5</v>
      </c>
      <c r="H32" s="3">
        <v>3</v>
      </c>
      <c r="I32" s="3">
        <v>2</v>
      </c>
      <c r="J32" s="3">
        <v>7</v>
      </c>
      <c r="K32" s="3" t="s">
        <v>25</v>
      </c>
      <c r="L32" s="3" t="s">
        <v>60</v>
      </c>
      <c r="M32" s="3" t="s">
        <v>63</v>
      </c>
      <c r="N32" s="3" t="s">
        <v>28</v>
      </c>
      <c r="O32" s="3" t="s">
        <v>47</v>
      </c>
      <c r="P32" s="3" t="s">
        <v>30</v>
      </c>
      <c r="Q32" s="3" t="s">
        <v>31</v>
      </c>
      <c r="R32" s="3" t="s">
        <v>65</v>
      </c>
      <c r="S32" s="3" t="s">
        <v>42</v>
      </c>
      <c r="T32" s="3" t="s">
        <v>27</v>
      </c>
      <c r="U32" s="3" t="s">
        <v>34</v>
      </c>
      <c r="V32" s="3" t="s">
        <v>51</v>
      </c>
      <c r="W32" s="3" t="s">
        <v>36</v>
      </c>
      <c r="X32" s="3" t="s">
        <v>45</v>
      </c>
    </row>
    <row r="33" spans="1:24" x14ac:dyDescent="0.45">
      <c r="A33" s="3" t="s">
        <v>24</v>
      </c>
      <c r="B33" s="3">
        <v>30</v>
      </c>
      <c r="C33" s="3" t="s">
        <v>25</v>
      </c>
      <c r="D33" s="3">
        <v>2</v>
      </c>
      <c r="E33" s="3">
        <v>4</v>
      </c>
      <c r="F33" s="3">
        <v>7</v>
      </c>
      <c r="G33" s="3">
        <v>5</v>
      </c>
      <c r="H33" s="3">
        <v>1</v>
      </c>
      <c r="I33" s="3">
        <v>3</v>
      </c>
      <c r="J33" s="3">
        <v>6</v>
      </c>
      <c r="K33" s="3" t="s">
        <v>25</v>
      </c>
      <c r="L33" s="3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3" t="s">
        <v>31</v>
      </c>
      <c r="R33" s="3" t="s">
        <v>49</v>
      </c>
      <c r="S33" s="3" t="s">
        <v>33</v>
      </c>
      <c r="T33" s="3" t="s">
        <v>27</v>
      </c>
      <c r="U33" s="3" t="s">
        <v>34</v>
      </c>
      <c r="V33" s="3" t="s">
        <v>51</v>
      </c>
      <c r="W33" s="3" t="s">
        <v>59</v>
      </c>
      <c r="X33" s="3" t="s">
        <v>37</v>
      </c>
    </row>
    <row r="34" spans="1:24" x14ac:dyDescent="0.45">
      <c r="A34" s="3" t="s">
        <v>46</v>
      </c>
      <c r="B34" s="3">
        <v>25</v>
      </c>
      <c r="C34" s="3" t="s">
        <v>25</v>
      </c>
      <c r="D34" s="3">
        <v>5</v>
      </c>
      <c r="E34" s="3">
        <v>4</v>
      </c>
      <c r="F34" s="3">
        <v>7</v>
      </c>
      <c r="G34" s="3">
        <v>6</v>
      </c>
      <c r="H34" s="3">
        <v>1</v>
      </c>
      <c r="I34" s="3">
        <v>2</v>
      </c>
      <c r="J34" s="3">
        <v>3</v>
      </c>
      <c r="K34" s="3" t="s">
        <v>25</v>
      </c>
      <c r="L34" s="3" t="s">
        <v>60</v>
      </c>
      <c r="M34" s="3" t="s">
        <v>63</v>
      </c>
      <c r="N34" s="3" t="s">
        <v>64</v>
      </c>
      <c r="O34" s="3" t="s">
        <v>47</v>
      </c>
      <c r="P34" s="3" t="s">
        <v>30</v>
      </c>
      <c r="Q34" s="3" t="s">
        <v>61</v>
      </c>
      <c r="R34" s="3" t="s">
        <v>67</v>
      </c>
      <c r="S34" s="3" t="s">
        <v>42</v>
      </c>
      <c r="T34" s="3" t="s">
        <v>27</v>
      </c>
      <c r="U34" s="3" t="s">
        <v>34</v>
      </c>
      <c r="V34" s="3" t="s">
        <v>35</v>
      </c>
      <c r="W34" s="3" t="s">
        <v>36</v>
      </c>
      <c r="X34" s="3" t="s">
        <v>45</v>
      </c>
    </row>
    <row r="35" spans="1:24" x14ac:dyDescent="0.45">
      <c r="A35" s="3" t="s">
        <v>24</v>
      </c>
      <c r="B35" s="3">
        <v>31</v>
      </c>
      <c r="C35" s="3" t="s">
        <v>25</v>
      </c>
      <c r="D35" s="3">
        <v>2</v>
      </c>
      <c r="E35" s="3">
        <v>4</v>
      </c>
      <c r="F35" s="3">
        <v>7</v>
      </c>
      <c r="G35" s="3">
        <v>5</v>
      </c>
      <c r="H35" s="3">
        <v>3</v>
      </c>
      <c r="I35" s="3">
        <v>1</v>
      </c>
      <c r="J35" s="3">
        <v>6</v>
      </c>
      <c r="K35" s="3" t="s">
        <v>25</v>
      </c>
      <c r="L35" s="3" t="s">
        <v>60</v>
      </c>
      <c r="M35" s="3" t="s">
        <v>63</v>
      </c>
      <c r="N35" s="3" t="s">
        <v>28</v>
      </c>
      <c r="O35" s="3" t="s">
        <v>29</v>
      </c>
      <c r="P35" s="3" t="s">
        <v>41</v>
      </c>
      <c r="Q35" s="3" t="s">
        <v>31</v>
      </c>
      <c r="R35" s="3" t="s">
        <v>49</v>
      </c>
      <c r="S35" s="3" t="s">
        <v>42</v>
      </c>
      <c r="T35" s="3" t="s">
        <v>43</v>
      </c>
      <c r="U35" s="3" t="s">
        <v>56</v>
      </c>
      <c r="V35" s="3" t="s">
        <v>51</v>
      </c>
      <c r="W35" s="3" t="s">
        <v>36</v>
      </c>
      <c r="X35" s="3" t="s">
        <v>37</v>
      </c>
    </row>
    <row r="36" spans="1:24" x14ac:dyDescent="0.45">
      <c r="A36" s="3" t="s">
        <v>24</v>
      </c>
      <c r="B36" s="3">
        <v>29</v>
      </c>
      <c r="C36" s="3" t="s">
        <v>25</v>
      </c>
      <c r="D36" s="3">
        <v>4</v>
      </c>
      <c r="E36" s="3">
        <v>3</v>
      </c>
      <c r="F36" s="3">
        <v>5</v>
      </c>
      <c r="G36" s="3">
        <v>7</v>
      </c>
      <c r="H36" s="3">
        <v>2</v>
      </c>
      <c r="I36" s="3">
        <v>1</v>
      </c>
      <c r="J36" s="3">
        <v>6</v>
      </c>
      <c r="K36" s="3" t="s">
        <v>25</v>
      </c>
      <c r="L36" s="3" t="s">
        <v>26</v>
      </c>
      <c r="M36" s="3" t="s">
        <v>27</v>
      </c>
      <c r="N36" s="3" t="s">
        <v>28</v>
      </c>
      <c r="O36" s="3" t="s">
        <v>47</v>
      </c>
      <c r="P36" s="3" t="s">
        <v>30</v>
      </c>
      <c r="Q36" s="3" t="s">
        <v>31</v>
      </c>
      <c r="R36" s="3" t="s">
        <v>65</v>
      </c>
      <c r="S36" s="3" t="s">
        <v>33</v>
      </c>
      <c r="T36" s="3" t="s">
        <v>43</v>
      </c>
      <c r="U36" s="3" t="s">
        <v>34</v>
      </c>
      <c r="V36" s="3" t="s">
        <v>35</v>
      </c>
      <c r="W36" s="3" t="s">
        <v>36</v>
      </c>
      <c r="X36" s="3" t="s">
        <v>45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8FD9-E2F1-44FD-8786-CF4B887A779F}">
  <dimension ref="A1:G36"/>
  <sheetViews>
    <sheetView topLeftCell="A9" workbookViewId="0">
      <selection activeCell="E20" sqref="E20"/>
    </sheetView>
  </sheetViews>
  <sheetFormatPr defaultRowHeight="14.25" x14ac:dyDescent="0.45"/>
  <sheetData>
    <row r="1" spans="1:2" x14ac:dyDescent="0.45">
      <c r="A1" s="8" t="s">
        <v>1</v>
      </c>
      <c r="B1" s="8" t="s">
        <v>3</v>
      </c>
    </row>
    <row r="2" spans="1:2" x14ac:dyDescent="0.45">
      <c r="A2" s="9">
        <v>34</v>
      </c>
      <c r="B2" s="9">
        <v>1</v>
      </c>
    </row>
    <row r="3" spans="1:2" x14ac:dyDescent="0.45">
      <c r="A3" s="10">
        <v>23</v>
      </c>
      <c r="B3" s="10">
        <v>4</v>
      </c>
    </row>
    <row r="4" spans="1:2" x14ac:dyDescent="0.45">
      <c r="A4" s="9">
        <v>30</v>
      </c>
      <c r="B4" s="9">
        <v>3</v>
      </c>
    </row>
    <row r="5" spans="1:2" x14ac:dyDescent="0.45">
      <c r="A5" s="10">
        <v>22</v>
      </c>
      <c r="B5" s="10">
        <v>2</v>
      </c>
    </row>
    <row r="6" spans="1:2" x14ac:dyDescent="0.45">
      <c r="A6" s="9">
        <v>24</v>
      </c>
      <c r="B6" s="9">
        <v>2</v>
      </c>
    </row>
    <row r="7" spans="1:2" x14ac:dyDescent="0.45">
      <c r="A7" s="10">
        <v>24</v>
      </c>
      <c r="B7" s="10">
        <v>7</v>
      </c>
    </row>
    <row r="8" spans="1:2" x14ac:dyDescent="0.45">
      <c r="A8" s="9">
        <v>21</v>
      </c>
      <c r="B8" s="9">
        <v>2</v>
      </c>
    </row>
    <row r="9" spans="1:2" x14ac:dyDescent="0.45">
      <c r="A9" s="10">
        <v>35</v>
      </c>
      <c r="B9" s="10">
        <v>2</v>
      </c>
    </row>
    <row r="10" spans="1:2" x14ac:dyDescent="0.45">
      <c r="A10" s="9">
        <v>31</v>
      </c>
      <c r="B10" s="9">
        <v>1</v>
      </c>
    </row>
    <row r="11" spans="1:2" x14ac:dyDescent="0.45">
      <c r="A11" s="10">
        <v>35</v>
      </c>
      <c r="B11" s="10">
        <v>2</v>
      </c>
    </row>
    <row r="12" spans="1:2" x14ac:dyDescent="0.45">
      <c r="A12" s="9">
        <v>29</v>
      </c>
      <c r="B12" s="9">
        <v>2</v>
      </c>
    </row>
    <row r="13" spans="1:2" x14ac:dyDescent="0.45">
      <c r="A13" s="10">
        <v>21</v>
      </c>
      <c r="B13" s="10">
        <v>1</v>
      </c>
    </row>
    <row r="14" spans="1:2" x14ac:dyDescent="0.45">
      <c r="A14" s="9">
        <v>25</v>
      </c>
      <c r="B14" s="9">
        <v>2</v>
      </c>
    </row>
    <row r="15" spans="1:2" x14ac:dyDescent="0.45">
      <c r="A15" s="10">
        <v>27</v>
      </c>
      <c r="B15" s="10">
        <v>2</v>
      </c>
    </row>
    <row r="16" spans="1:2" x14ac:dyDescent="0.45">
      <c r="A16" s="9">
        <v>28</v>
      </c>
      <c r="B16" s="9">
        <v>3</v>
      </c>
    </row>
    <row r="17" spans="1:7" x14ac:dyDescent="0.45">
      <c r="A17" s="10">
        <v>27</v>
      </c>
      <c r="B17" s="10">
        <v>3</v>
      </c>
    </row>
    <row r="18" spans="1:7" x14ac:dyDescent="0.45">
      <c r="A18" s="9">
        <v>29</v>
      </c>
      <c r="B18" s="9">
        <v>3</v>
      </c>
    </row>
    <row r="19" spans="1:7" ht="14.65" thickBot="1" x14ac:dyDescent="0.5">
      <c r="A19" s="10">
        <v>26</v>
      </c>
      <c r="B19" s="10">
        <v>3</v>
      </c>
    </row>
    <row r="20" spans="1:7" x14ac:dyDescent="0.45">
      <c r="A20" s="9">
        <v>24</v>
      </c>
      <c r="B20" s="9">
        <v>2</v>
      </c>
      <c r="E20" s="11"/>
      <c r="F20" s="11" t="s">
        <v>1</v>
      </c>
      <c r="G20" s="11" t="s">
        <v>3</v>
      </c>
    </row>
    <row r="21" spans="1:7" x14ac:dyDescent="0.45">
      <c r="A21" s="10">
        <v>27</v>
      </c>
      <c r="B21" s="10">
        <v>3</v>
      </c>
      <c r="E21" t="s">
        <v>1</v>
      </c>
      <c r="F21">
        <v>1</v>
      </c>
    </row>
    <row r="22" spans="1:7" ht="14.65" thickBot="1" x14ac:dyDescent="0.5">
      <c r="A22" s="9">
        <v>25</v>
      </c>
      <c r="B22" s="9">
        <v>2</v>
      </c>
      <c r="E22" s="4" t="s">
        <v>3</v>
      </c>
      <c r="F22" s="4">
        <v>-0.11125922587194101</v>
      </c>
      <c r="G22" s="4">
        <v>1</v>
      </c>
    </row>
    <row r="23" spans="1:7" x14ac:dyDescent="0.45">
      <c r="A23" s="10">
        <v>26</v>
      </c>
      <c r="B23" s="10">
        <v>2</v>
      </c>
    </row>
    <row r="24" spans="1:7" x14ac:dyDescent="0.45">
      <c r="A24" s="9">
        <v>32</v>
      </c>
      <c r="B24" s="9">
        <v>3</v>
      </c>
    </row>
    <row r="25" spans="1:7" x14ac:dyDescent="0.45">
      <c r="A25" s="10">
        <v>26</v>
      </c>
      <c r="B25" s="10">
        <v>3</v>
      </c>
    </row>
    <row r="26" spans="1:7" x14ac:dyDescent="0.45">
      <c r="A26" s="9">
        <v>29</v>
      </c>
      <c r="B26" s="9">
        <v>2</v>
      </c>
    </row>
    <row r="27" spans="1:7" x14ac:dyDescent="0.45">
      <c r="A27" s="10">
        <v>34</v>
      </c>
      <c r="B27" s="10">
        <v>5</v>
      </c>
    </row>
    <row r="28" spans="1:7" x14ac:dyDescent="0.45">
      <c r="A28" s="9">
        <v>27</v>
      </c>
      <c r="B28" s="9">
        <v>4</v>
      </c>
    </row>
    <row r="29" spans="1:7" x14ac:dyDescent="0.45">
      <c r="A29" s="10">
        <v>31</v>
      </c>
      <c r="B29" s="10">
        <v>2</v>
      </c>
    </row>
    <row r="30" spans="1:7" x14ac:dyDescent="0.45">
      <c r="A30" s="9">
        <v>27</v>
      </c>
      <c r="B30" s="9">
        <v>2</v>
      </c>
    </row>
    <row r="31" spans="1:7" x14ac:dyDescent="0.45">
      <c r="A31" s="10">
        <v>26</v>
      </c>
      <c r="B31" s="10">
        <v>2</v>
      </c>
    </row>
    <row r="32" spans="1:7" x14ac:dyDescent="0.45">
      <c r="A32" s="9">
        <v>30</v>
      </c>
      <c r="B32" s="9">
        <v>1</v>
      </c>
    </row>
    <row r="33" spans="1:2" x14ac:dyDescent="0.45">
      <c r="A33" s="10">
        <v>30</v>
      </c>
      <c r="B33" s="10">
        <v>2</v>
      </c>
    </row>
    <row r="34" spans="1:2" x14ac:dyDescent="0.45">
      <c r="A34" s="9">
        <v>25</v>
      </c>
      <c r="B34" s="9">
        <v>5</v>
      </c>
    </row>
    <row r="35" spans="1:2" x14ac:dyDescent="0.45">
      <c r="A35" s="10">
        <v>31</v>
      </c>
      <c r="B35" s="10">
        <v>2</v>
      </c>
    </row>
    <row r="36" spans="1:2" x14ac:dyDescent="0.45">
      <c r="A36" s="9">
        <v>29</v>
      </c>
      <c r="B36" s="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Gender Distribution</vt:lpstr>
      <vt:lpstr>Sheet4</vt:lpstr>
      <vt:lpstr>Descriptive Statistics</vt:lpstr>
      <vt:lpstr>Most Preferred Investment Avenu</vt:lpstr>
      <vt:lpstr>Reason For Choosing Investment</vt:lpstr>
      <vt:lpstr>Sheet3</vt:lpstr>
      <vt:lpstr>Sheet5</vt:lpstr>
      <vt:lpstr>Sheet6</vt:lpstr>
      <vt:lpstr>Sheet1</vt:lpstr>
      <vt:lpstr>Data_set 2 - Copy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Qadbano Jidge</dc:creator>
  <cp:lastModifiedBy>Qadbano Jidge</cp:lastModifiedBy>
  <dcterms:created xsi:type="dcterms:W3CDTF">2026-07-13T08:11:56Z</dcterms:created>
  <dcterms:modified xsi:type="dcterms:W3CDTF">2026-08-03T14:28:36Z</dcterms:modified>
</cp:coreProperties>
</file>